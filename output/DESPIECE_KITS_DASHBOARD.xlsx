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its" sheetId="2" state="visible" r:id="rId2"/>
    <sheet xmlns:r="http://schemas.openxmlformats.org/officeDocument/2006/relationships" name="BOM_Base" sheetId="3" state="visible" r:id="rId3"/>
    <sheet xmlns:r="http://schemas.openxmlformats.org/officeDocument/2006/relationships" name="BOM_Estructura" sheetId="4" state="visible" r:id="rId4"/>
    <sheet xmlns:r="http://schemas.openxmlformats.org/officeDocument/2006/relationships" name="BOM_Soporte" sheetId="5" state="visible" r:id="rId5"/>
    <sheet xmlns:r="http://schemas.openxmlformats.org/officeDocument/2006/relationships" name="Estructuras_Detalle" sheetId="6" state="visible" r:id="rId6"/>
    <sheet xmlns:r="http://schemas.openxmlformats.org/officeDocument/2006/relationships" name="Master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  <color rgb="001F4E78"/>
      <sz val="11"/>
    </font>
    <font>
      <b val="1"/>
      <sz val="12"/>
    </font>
    <font>
      <b val="1"/>
    </font>
    <font>
      <b val="1"/>
      <color rgb="00FFFFFF"/>
      <sz val="12"/>
    </font>
    <font>
      <b val="1"/>
      <color rgb="001F3864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2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48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2" ht="26" customHeight="1">
      <c r="B2" s="1" t="inlineStr">
        <is>
          <t>DESPIECE DE KITS — Dashboard</t>
        </is>
      </c>
    </row>
    <row r="4">
      <c r="B4" s="2" t="inlineStr">
        <is>
          <t>Kit:</t>
        </is>
      </c>
      <c r="C4" s="3" t="inlineStr">
        <is>
          <t>EC-3K</t>
        </is>
      </c>
      <c r="E4" s="2" t="inlineStr">
        <is>
          <t>Nombre:</t>
        </is>
      </c>
      <c r="F4" s="4">
        <f>IFERROR(VLOOKUP($C$4,Kits!$A$2:$F$13,2,FALSE),"")</f>
        <v/>
      </c>
      <c r="G4" s="5" t="n"/>
    </row>
    <row r="5">
      <c r="B5" s="2" t="inlineStr">
        <is>
          <t>Estructura:</t>
        </is>
      </c>
      <c r="C5" s="3" t="inlineStr">
        <is>
          <t>Chapa</t>
        </is>
      </c>
      <c r="E5" s="2" t="inlineStr">
        <is>
          <t>Fase / Tipo:</t>
        </is>
      </c>
      <c r="F5" s="4">
        <f>IFERROR(VLOOKUP($C$4,Kits!$A$2:$F$13,3,FALSE)&amp;" / "&amp;VLOOKUP($C$4,Kits!$A$2:$F$13,4,FALSE),"")</f>
        <v/>
      </c>
      <c r="G5" s="5" t="n"/>
    </row>
    <row r="6">
      <c r="B6" s="2" t="inlineStr">
        <is>
          <t>Marca Estructura:</t>
        </is>
      </c>
      <c r="C6" s="3" t="inlineStr">
        <is>
          <t>SOLARMET</t>
        </is>
      </c>
      <c r="E6" s="2" t="inlineStr">
        <is>
          <t>Potencia / Paneles:</t>
        </is>
      </c>
      <c r="F6" s="4">
        <f>IFERROR(VLOOKUP($C$4,Kits!$A$2:$F$13,5,FALSE)&amp;" kW · "&amp;VLOOKUP($C$4,Kits!$A$2:$F$13,6,FALSE)&amp;" paneles","")</f>
        <v/>
      </c>
      <c r="G6" s="5" t="n"/>
    </row>
    <row r="7">
      <c r="B7" s="2" t="inlineStr">
        <is>
          <t>Soporte Batería:</t>
        </is>
      </c>
      <c r="C7" s="3" t="inlineStr">
        <is>
          <t>Pared</t>
        </is>
      </c>
    </row>
    <row r="9">
      <c r="B9" s="6" t="inlineStr">
        <is>
          <t>COMPONENTES BASE DEL KIT</t>
        </is>
      </c>
    </row>
    <row r="10">
      <c r="B10" s="7" t="inlineStr">
        <is>
          <t>Qty</t>
        </is>
      </c>
      <c r="C10" s="7" t="inlineStr">
        <is>
          <t>Item</t>
        </is>
      </c>
      <c r="D10" s="7" t="inlineStr">
        <is>
          <t>Categoría</t>
        </is>
      </c>
      <c r="E10" s="7" t="inlineStr">
        <is>
          <t>Marca</t>
        </is>
      </c>
      <c r="F10" s="7" t="inlineStr">
        <is>
          <t>Código</t>
        </is>
      </c>
    </row>
    <row r="11">
      <c r="B11" s="8">
        <f>IFERROR(VLOOKUP($C$4&amp;"|"&amp;1,BOM_Base!$A$2:$H$55,4,FALSE),"")</f>
        <v/>
      </c>
      <c r="C11" s="9">
        <f>IFERROR(VLOOKUP($C$4&amp;"|"&amp;1,BOM_Base!$A$2:$H$55,5,FALSE),"")</f>
        <v/>
      </c>
      <c r="D11" s="8">
        <f>IFERROR(VLOOKUP($C$4&amp;"|"&amp;1,BOM_Base!$A$2:$H$55,6,FALSE),"")</f>
        <v/>
      </c>
      <c r="E11" s="8">
        <f>IFERROR(VLOOKUP($C$4&amp;"|"&amp;1,BOM_Base!$A$2:$H$55,7,FALSE),"")</f>
        <v/>
      </c>
      <c r="F11" s="8">
        <f>IFERROR(VLOOKUP($C$4&amp;"|"&amp;1,BOM_Base!$A$2:$H$55,8,FALSE),"")</f>
        <v/>
      </c>
    </row>
    <row r="12">
      <c r="B12" s="8">
        <f>IFERROR(VLOOKUP($C$4&amp;"|"&amp;2,BOM_Base!$A$2:$H$55,4,FALSE),"")</f>
        <v/>
      </c>
      <c r="C12" s="9">
        <f>IFERROR(VLOOKUP($C$4&amp;"|"&amp;2,BOM_Base!$A$2:$H$55,5,FALSE),"")</f>
        <v/>
      </c>
      <c r="D12" s="8">
        <f>IFERROR(VLOOKUP($C$4&amp;"|"&amp;2,BOM_Base!$A$2:$H$55,6,FALSE),"")</f>
        <v/>
      </c>
      <c r="E12" s="8">
        <f>IFERROR(VLOOKUP($C$4&amp;"|"&amp;2,BOM_Base!$A$2:$H$55,7,FALSE),"")</f>
        <v/>
      </c>
      <c r="F12" s="8">
        <f>IFERROR(VLOOKUP($C$4&amp;"|"&amp;2,BOM_Base!$A$2:$H$55,8,FALSE),"")</f>
        <v/>
      </c>
    </row>
    <row r="13">
      <c r="B13" s="8">
        <f>IFERROR(VLOOKUP($C$4&amp;"|"&amp;3,BOM_Base!$A$2:$H$55,4,FALSE),"")</f>
        <v/>
      </c>
      <c r="C13" s="9">
        <f>IFERROR(VLOOKUP($C$4&amp;"|"&amp;3,BOM_Base!$A$2:$H$55,5,FALSE),"")</f>
        <v/>
      </c>
      <c r="D13" s="8">
        <f>IFERROR(VLOOKUP($C$4&amp;"|"&amp;3,BOM_Base!$A$2:$H$55,6,FALSE),"")</f>
        <v/>
      </c>
      <c r="E13" s="8">
        <f>IFERROR(VLOOKUP($C$4&amp;"|"&amp;3,BOM_Base!$A$2:$H$55,7,FALSE),"")</f>
        <v/>
      </c>
      <c r="F13" s="8">
        <f>IFERROR(VLOOKUP($C$4&amp;"|"&amp;3,BOM_Base!$A$2:$H$55,8,FALSE),"")</f>
        <v/>
      </c>
    </row>
    <row r="14">
      <c r="B14" s="8">
        <f>IFERROR(VLOOKUP($C$4&amp;"|"&amp;4,BOM_Base!$A$2:$H$55,4,FALSE),"")</f>
        <v/>
      </c>
      <c r="C14" s="9">
        <f>IFERROR(VLOOKUP($C$4&amp;"|"&amp;4,BOM_Base!$A$2:$H$55,5,FALSE),"")</f>
        <v/>
      </c>
      <c r="D14" s="8">
        <f>IFERROR(VLOOKUP($C$4&amp;"|"&amp;4,BOM_Base!$A$2:$H$55,6,FALSE),"")</f>
        <v/>
      </c>
      <c r="E14" s="8">
        <f>IFERROR(VLOOKUP($C$4&amp;"|"&amp;4,BOM_Base!$A$2:$H$55,7,FALSE),"")</f>
        <v/>
      </c>
      <c r="F14" s="8">
        <f>IFERROR(VLOOKUP($C$4&amp;"|"&amp;4,BOM_Base!$A$2:$H$55,8,FALSE),"")</f>
        <v/>
      </c>
    </row>
    <row r="15">
      <c r="B15" s="8">
        <f>IFERROR(VLOOKUP($C$4&amp;"|"&amp;5,BOM_Base!$A$2:$H$55,4,FALSE),"")</f>
        <v/>
      </c>
      <c r="C15" s="9">
        <f>IFERROR(VLOOKUP($C$4&amp;"|"&amp;5,BOM_Base!$A$2:$H$55,5,FALSE),"")</f>
        <v/>
      </c>
      <c r="D15" s="8">
        <f>IFERROR(VLOOKUP($C$4&amp;"|"&amp;5,BOM_Base!$A$2:$H$55,6,FALSE),"")</f>
        <v/>
      </c>
      <c r="E15" s="8">
        <f>IFERROR(VLOOKUP($C$4&amp;"|"&amp;5,BOM_Base!$A$2:$H$55,7,FALSE),"")</f>
        <v/>
      </c>
      <c r="F15" s="8">
        <f>IFERROR(VLOOKUP($C$4&amp;"|"&amp;5,BOM_Base!$A$2:$H$55,8,FALSE),"")</f>
        <v/>
      </c>
    </row>
    <row r="17">
      <c r="B17" s="6" t="inlineStr">
        <is>
          <t>ESTRUCTURA SELECCIONADA (SET)</t>
        </is>
      </c>
    </row>
    <row r="18">
      <c r="B18" s="7" t="inlineStr">
        <is>
          <t>Qty</t>
        </is>
      </c>
      <c r="C18" s="7" t="inlineStr">
        <is>
          <t>Item</t>
        </is>
      </c>
      <c r="D18" s="7" t="inlineStr">
        <is>
          <t>Categoría</t>
        </is>
      </c>
      <c r="E18" s="7" t="inlineStr">
        <is>
          <t>Marca</t>
        </is>
      </c>
      <c r="F18" s="7" t="inlineStr">
        <is>
          <t>Código Set</t>
        </is>
      </c>
    </row>
    <row r="19">
      <c r="B19" s="8">
        <f>IFERROR(VLOOKUP($C$4&amp;"|"&amp;$C$5&amp;"|"&amp;$C$6,BOM_Estructura!$A$2:$H$73,5,FALSE),"")</f>
        <v/>
      </c>
      <c r="C19" s="9">
        <f>IFERROR(VLOOKUP($C$4&amp;"|"&amp;$C$5&amp;"|"&amp;$C$6,BOM_Estructura!$A$2:$H$73,6,FALSE),"")</f>
        <v/>
      </c>
      <c r="D19" s="8">
        <f>IFERROR(VLOOKUP($C$4&amp;"|"&amp;$C$5&amp;"|"&amp;$C$6,BOM_Estructura!$A$2:$H$73,7,FALSE),"")</f>
        <v/>
      </c>
      <c r="E19" s="8">
        <f>IFERROR(VLOOKUP($C$4&amp;"|"&amp;$C$5&amp;"|"&amp;$C$6,BOM_Estructura!$A$2:$H$73,4,FALSE),"")</f>
        <v/>
      </c>
      <c r="F19" s="8">
        <f>IFERROR(VLOOKUP($C$4&amp;"|"&amp;$C$5&amp;"|"&amp;$C$6,BOM_Estructura!$A$2:$H$73,8,FALSE),"")</f>
        <v/>
      </c>
    </row>
    <row r="21">
      <c r="B21" s="6" t="inlineStr">
        <is>
          <t>DESPIECE INTERNO DE LA ESTRUCTURA (por set)</t>
        </is>
      </c>
    </row>
    <row r="22">
      <c r="B22" s="2" t="inlineStr">
        <is>
          <t>Set:</t>
        </is>
      </c>
      <c r="C22" s="10">
        <f>$F$19</f>
        <v/>
      </c>
      <c r="D22" s="2" t="inlineStr">
        <is>
          <t>Sets a usar:</t>
        </is>
      </c>
      <c r="E22" s="10">
        <f>$B$19</f>
        <v/>
      </c>
    </row>
    <row r="23">
      <c r="B23" s="7" t="inlineStr">
        <is>
          <t>Qty x set</t>
        </is>
      </c>
      <c r="C23" s="7" t="inlineStr">
        <is>
          <t>Qty Total</t>
        </is>
      </c>
      <c r="D23" s="7" t="inlineStr">
        <is>
          <t>Item</t>
        </is>
      </c>
      <c r="E23" s="7" t="inlineStr">
        <is>
          <t>Categoría</t>
        </is>
      </c>
      <c r="F23" s="7" t="inlineStr">
        <is>
          <t>Marca</t>
        </is>
      </c>
      <c r="G23" s="7" t="inlineStr">
        <is>
          <t>Código</t>
        </is>
      </c>
    </row>
    <row r="24">
      <c r="B24" s="8">
        <f>IFERROR(VLOOKUP($C$22&amp;"|"&amp;1,Estructuras_Detalle!$A$2:$G$92,4,FALSE),"")</f>
        <v/>
      </c>
      <c r="C24" s="8">
        <f>IFERROR(VLOOKUP($C$22&amp;"|"&amp;1,Estructuras_Detalle!$A$2:$G$92,4,FALSE)*$E$22,"")</f>
        <v/>
      </c>
      <c r="D24" s="9">
        <f>IFERROR(VLOOKUP($C$22&amp;"|"&amp;1,Estructuras_Detalle!$A$2:$G$92,5,FALSE),"")</f>
        <v/>
      </c>
      <c r="E24" s="8">
        <f>IFERROR(VLOOKUP($C$22&amp;"|"&amp;1,Estructuras_Detalle!$A$2:$G$92,6,FALSE),"")</f>
        <v/>
      </c>
      <c r="F24" s="8">
        <f>IFERROR(VLOOKUP($C$22&amp;"|"&amp;1,Estructuras_Detalle!$A$2:$G$92,3,FALSE),"")</f>
        <v/>
      </c>
      <c r="G24" s="8">
        <f>IFERROR(VLOOKUP($C$22&amp;"|"&amp;1,Estructuras_Detalle!$A$2:$G$92,7,FALSE),"")</f>
        <v/>
      </c>
    </row>
    <row r="25">
      <c r="B25" s="8">
        <f>IFERROR(VLOOKUP($C$22&amp;"|"&amp;2,Estructuras_Detalle!$A$2:$G$92,4,FALSE),"")</f>
        <v/>
      </c>
      <c r="C25" s="8">
        <f>IFERROR(VLOOKUP($C$22&amp;"|"&amp;2,Estructuras_Detalle!$A$2:$G$92,4,FALSE)*$E$22,"")</f>
        <v/>
      </c>
      <c r="D25" s="9">
        <f>IFERROR(VLOOKUP($C$22&amp;"|"&amp;2,Estructuras_Detalle!$A$2:$G$92,5,FALSE),"")</f>
        <v/>
      </c>
      <c r="E25" s="8">
        <f>IFERROR(VLOOKUP($C$22&amp;"|"&amp;2,Estructuras_Detalle!$A$2:$G$92,6,FALSE),"")</f>
        <v/>
      </c>
      <c r="F25" s="8">
        <f>IFERROR(VLOOKUP($C$22&amp;"|"&amp;2,Estructuras_Detalle!$A$2:$G$92,3,FALSE),"")</f>
        <v/>
      </c>
      <c r="G25" s="8">
        <f>IFERROR(VLOOKUP($C$22&amp;"|"&amp;2,Estructuras_Detalle!$A$2:$G$92,7,FALSE),"")</f>
        <v/>
      </c>
    </row>
    <row r="26">
      <c r="B26" s="8">
        <f>IFERROR(VLOOKUP($C$22&amp;"|"&amp;3,Estructuras_Detalle!$A$2:$G$92,4,FALSE),"")</f>
        <v/>
      </c>
      <c r="C26" s="8">
        <f>IFERROR(VLOOKUP($C$22&amp;"|"&amp;3,Estructuras_Detalle!$A$2:$G$92,4,FALSE)*$E$22,"")</f>
        <v/>
      </c>
      <c r="D26" s="9">
        <f>IFERROR(VLOOKUP($C$22&amp;"|"&amp;3,Estructuras_Detalle!$A$2:$G$92,5,FALSE),"")</f>
        <v/>
      </c>
      <c r="E26" s="8">
        <f>IFERROR(VLOOKUP($C$22&amp;"|"&amp;3,Estructuras_Detalle!$A$2:$G$92,6,FALSE),"")</f>
        <v/>
      </c>
      <c r="F26" s="8">
        <f>IFERROR(VLOOKUP($C$22&amp;"|"&amp;3,Estructuras_Detalle!$A$2:$G$92,3,FALSE),"")</f>
        <v/>
      </c>
      <c r="G26" s="8">
        <f>IFERROR(VLOOKUP($C$22&amp;"|"&amp;3,Estructuras_Detalle!$A$2:$G$92,7,FALSE),"")</f>
        <v/>
      </c>
    </row>
    <row r="27">
      <c r="B27" s="8">
        <f>IFERROR(VLOOKUP($C$22&amp;"|"&amp;4,Estructuras_Detalle!$A$2:$G$92,4,FALSE),"")</f>
        <v/>
      </c>
      <c r="C27" s="8">
        <f>IFERROR(VLOOKUP($C$22&amp;"|"&amp;4,Estructuras_Detalle!$A$2:$G$92,4,FALSE)*$E$22,"")</f>
        <v/>
      </c>
      <c r="D27" s="9">
        <f>IFERROR(VLOOKUP($C$22&amp;"|"&amp;4,Estructuras_Detalle!$A$2:$G$92,5,FALSE),"")</f>
        <v/>
      </c>
      <c r="E27" s="8">
        <f>IFERROR(VLOOKUP($C$22&amp;"|"&amp;4,Estructuras_Detalle!$A$2:$G$92,6,FALSE),"")</f>
        <v/>
      </c>
      <c r="F27" s="8">
        <f>IFERROR(VLOOKUP($C$22&amp;"|"&amp;4,Estructuras_Detalle!$A$2:$G$92,3,FALSE),"")</f>
        <v/>
      </c>
      <c r="G27" s="8">
        <f>IFERROR(VLOOKUP($C$22&amp;"|"&amp;4,Estructuras_Detalle!$A$2:$G$92,7,FALSE),"")</f>
        <v/>
      </c>
    </row>
    <row r="28">
      <c r="B28" s="8">
        <f>IFERROR(VLOOKUP($C$22&amp;"|"&amp;5,Estructuras_Detalle!$A$2:$G$92,4,FALSE),"")</f>
        <v/>
      </c>
      <c r="C28" s="8">
        <f>IFERROR(VLOOKUP($C$22&amp;"|"&amp;5,Estructuras_Detalle!$A$2:$G$92,4,FALSE)*$E$22,"")</f>
        <v/>
      </c>
      <c r="D28" s="9">
        <f>IFERROR(VLOOKUP($C$22&amp;"|"&amp;5,Estructuras_Detalle!$A$2:$G$92,5,FALSE),"")</f>
        <v/>
      </c>
      <c r="E28" s="8">
        <f>IFERROR(VLOOKUP($C$22&amp;"|"&amp;5,Estructuras_Detalle!$A$2:$G$92,6,FALSE),"")</f>
        <v/>
      </c>
      <c r="F28" s="8">
        <f>IFERROR(VLOOKUP($C$22&amp;"|"&amp;5,Estructuras_Detalle!$A$2:$G$92,3,FALSE),"")</f>
        <v/>
      </c>
      <c r="G28" s="8">
        <f>IFERROR(VLOOKUP($C$22&amp;"|"&amp;5,Estructuras_Detalle!$A$2:$G$92,7,FALSE),"")</f>
        <v/>
      </c>
    </row>
    <row r="29">
      <c r="B29" s="8">
        <f>IFERROR(VLOOKUP($C$22&amp;"|"&amp;6,Estructuras_Detalle!$A$2:$G$92,4,FALSE),"")</f>
        <v/>
      </c>
      <c r="C29" s="8">
        <f>IFERROR(VLOOKUP($C$22&amp;"|"&amp;6,Estructuras_Detalle!$A$2:$G$92,4,FALSE)*$E$22,"")</f>
        <v/>
      </c>
      <c r="D29" s="9">
        <f>IFERROR(VLOOKUP($C$22&amp;"|"&amp;6,Estructuras_Detalle!$A$2:$G$92,5,FALSE),"")</f>
        <v/>
      </c>
      <c r="E29" s="8">
        <f>IFERROR(VLOOKUP($C$22&amp;"|"&amp;6,Estructuras_Detalle!$A$2:$G$92,6,FALSE),"")</f>
        <v/>
      </c>
      <c r="F29" s="8">
        <f>IFERROR(VLOOKUP($C$22&amp;"|"&amp;6,Estructuras_Detalle!$A$2:$G$92,3,FALSE),"")</f>
        <v/>
      </c>
      <c r="G29" s="8">
        <f>IFERROR(VLOOKUP($C$22&amp;"|"&amp;6,Estructuras_Detalle!$A$2:$G$92,7,FALSE),"")</f>
        <v/>
      </c>
    </row>
    <row r="30">
      <c r="B30" s="8">
        <f>IFERROR(VLOOKUP($C$22&amp;"|"&amp;7,Estructuras_Detalle!$A$2:$G$92,4,FALSE),"")</f>
        <v/>
      </c>
      <c r="C30" s="8">
        <f>IFERROR(VLOOKUP($C$22&amp;"|"&amp;7,Estructuras_Detalle!$A$2:$G$92,4,FALSE)*$E$22,"")</f>
        <v/>
      </c>
      <c r="D30" s="9">
        <f>IFERROR(VLOOKUP($C$22&amp;"|"&amp;7,Estructuras_Detalle!$A$2:$G$92,5,FALSE),"")</f>
        <v/>
      </c>
      <c r="E30" s="8">
        <f>IFERROR(VLOOKUP($C$22&amp;"|"&amp;7,Estructuras_Detalle!$A$2:$G$92,6,FALSE),"")</f>
        <v/>
      </c>
      <c r="F30" s="8">
        <f>IFERROR(VLOOKUP($C$22&amp;"|"&amp;7,Estructuras_Detalle!$A$2:$G$92,3,FALSE),"")</f>
        <v/>
      </c>
      <c r="G30" s="8">
        <f>IFERROR(VLOOKUP($C$22&amp;"|"&amp;7,Estructuras_Detalle!$A$2:$G$92,7,FALSE),"")</f>
        <v/>
      </c>
    </row>
    <row r="31">
      <c r="B31" s="8">
        <f>IFERROR(VLOOKUP($C$22&amp;"|"&amp;8,Estructuras_Detalle!$A$2:$G$92,4,FALSE),"")</f>
        <v/>
      </c>
      <c r="C31" s="8">
        <f>IFERROR(VLOOKUP($C$22&amp;"|"&amp;8,Estructuras_Detalle!$A$2:$G$92,4,FALSE)*$E$22,"")</f>
        <v/>
      </c>
      <c r="D31" s="9">
        <f>IFERROR(VLOOKUP($C$22&amp;"|"&amp;8,Estructuras_Detalle!$A$2:$G$92,5,FALSE),"")</f>
        <v/>
      </c>
      <c r="E31" s="8">
        <f>IFERROR(VLOOKUP($C$22&amp;"|"&amp;8,Estructuras_Detalle!$A$2:$G$92,6,FALSE),"")</f>
        <v/>
      </c>
      <c r="F31" s="8">
        <f>IFERROR(VLOOKUP($C$22&amp;"|"&amp;8,Estructuras_Detalle!$A$2:$G$92,3,FALSE),"")</f>
        <v/>
      </c>
      <c r="G31" s="8">
        <f>IFERROR(VLOOKUP($C$22&amp;"|"&amp;8,Estructuras_Detalle!$A$2:$G$92,7,FALSE),"")</f>
        <v/>
      </c>
    </row>
    <row r="32">
      <c r="B32" s="8">
        <f>IFERROR(VLOOKUP($C$22&amp;"|"&amp;9,Estructuras_Detalle!$A$2:$G$92,4,FALSE),"")</f>
        <v/>
      </c>
      <c r="C32" s="8">
        <f>IFERROR(VLOOKUP($C$22&amp;"|"&amp;9,Estructuras_Detalle!$A$2:$G$92,4,FALSE)*$E$22,"")</f>
        <v/>
      </c>
      <c r="D32" s="9">
        <f>IFERROR(VLOOKUP($C$22&amp;"|"&amp;9,Estructuras_Detalle!$A$2:$G$92,5,FALSE),"")</f>
        <v/>
      </c>
      <c r="E32" s="8">
        <f>IFERROR(VLOOKUP($C$22&amp;"|"&amp;9,Estructuras_Detalle!$A$2:$G$92,6,FALSE),"")</f>
        <v/>
      </c>
      <c r="F32" s="8">
        <f>IFERROR(VLOOKUP($C$22&amp;"|"&amp;9,Estructuras_Detalle!$A$2:$G$92,3,FALSE),"")</f>
        <v/>
      </c>
      <c r="G32" s="8">
        <f>IFERROR(VLOOKUP($C$22&amp;"|"&amp;9,Estructuras_Detalle!$A$2:$G$92,7,FALSE),"")</f>
        <v/>
      </c>
    </row>
    <row r="33">
      <c r="B33" s="11">
        <f>IF($C$6="MIBET",IF($C$5="Suelo/Losa","Kit indivisible: ya viene armado (sin despiece adicional).",""),"")</f>
        <v/>
      </c>
    </row>
    <row r="35">
      <c r="B35" s="6" t="inlineStr">
        <is>
          <t>SOPORTE BATERÍA (solo kits HV)</t>
        </is>
      </c>
    </row>
    <row r="36">
      <c r="B36" s="7" t="inlineStr">
        <is>
          <t>Qty</t>
        </is>
      </c>
      <c r="C36" s="7" t="inlineStr">
        <is>
          <t>Item</t>
        </is>
      </c>
      <c r="D36" s="7" t="inlineStr">
        <is>
          <t>Categoría</t>
        </is>
      </c>
      <c r="E36" s="7" t="inlineStr">
        <is>
          <t>Marca</t>
        </is>
      </c>
      <c r="F36" s="7" t="inlineStr">
        <is>
          <t>Código</t>
        </is>
      </c>
    </row>
    <row r="37">
      <c r="B37" s="8">
        <f>IFERROR(VLOOKUP($C$4&amp;"|"&amp;$C$7,BOM_Soporte!$A$2:$H$9,4,FALSE),"N/A")</f>
        <v/>
      </c>
      <c r="C37" s="9">
        <f>IFERROR(VLOOKUP($C$4&amp;"|"&amp;$C$7,BOM_Soporte!$A$2:$H$9,5,FALSE),"N/A para este kit")</f>
        <v/>
      </c>
      <c r="D37" s="8">
        <f>IFERROR(VLOOKUP($C$4&amp;"|"&amp;$C$7,BOM_Soporte!$A$2:$H$9,6,FALSE),"")</f>
        <v/>
      </c>
      <c r="E37" s="8">
        <f>IFERROR(VLOOKUP($C$4&amp;"|"&amp;$C$7,BOM_Soporte!$A$2:$H$9,7,FALSE),"")</f>
        <v/>
      </c>
      <c r="F37" s="8">
        <f>IFERROR(VLOOKUP($C$4&amp;"|"&amp;$C$7,BOM_Soporte!$A$2:$H$9,8,FALSE),"")</f>
        <v/>
      </c>
    </row>
  </sheetData>
  <mergeCells count="9">
    <mergeCell ref="B2:G2"/>
    <mergeCell ref="F4:G4"/>
    <mergeCell ref="F5:G5"/>
    <mergeCell ref="B9:G9"/>
    <mergeCell ref="B17:G17"/>
    <mergeCell ref="B35:G35"/>
    <mergeCell ref="F6:G6"/>
    <mergeCell ref="B21:G21"/>
    <mergeCell ref="B33:G33"/>
  </mergeCells>
  <dataValidations count="4">
    <dataValidation sqref="C4" showDropDown="0" showInputMessage="0" showErrorMessage="0" allowBlank="0" type="list">
      <formula1>=Kits!$A$2:$A$13</formula1>
    </dataValidation>
    <dataValidation sqref="C5" showDropDown="0" showInputMessage="0" showErrorMessage="0" allowBlank="0" type="list">
      <formula1>"Chapa,Teja,Suelo/Losa"</formula1>
    </dataValidation>
    <dataValidation sqref="C6" showDropDown="0" showInputMessage="0" showErrorMessage="0" allowBlank="0" type="list">
      <formula1>"SOLARMET,MIBET"</formula1>
    </dataValidation>
    <dataValidation sqref="C7" showDropDown="0" showInputMessage="0" showErrorMessage="0" allowBlank="1" type="list">
      <formula1>"Pared,Suelo"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  <col width="14" customWidth="1" min="5" max="5"/>
    <col width="14" customWidth="1" min="6" max="6"/>
    <col width="22" customWidth="1" min="7" max="7"/>
  </cols>
  <sheetData>
    <row r="1">
      <c r="A1" s="12" t="inlineStr">
        <is>
          <t>Código Kit</t>
        </is>
      </c>
      <c r="B1" s="12" t="inlineStr">
        <is>
          <t>Nombre</t>
        </is>
      </c>
      <c r="C1" s="12" t="inlineStr">
        <is>
          <t>Fase</t>
        </is>
      </c>
      <c r="D1" s="12" t="inlineStr">
        <is>
          <t>Tipo</t>
        </is>
      </c>
      <c r="E1" s="12" t="inlineStr">
        <is>
          <t>Potencia (kW)</t>
        </is>
      </c>
      <c r="F1" s="12" t="inlineStr">
        <is>
          <t>Cant. Paneles</t>
        </is>
      </c>
      <c r="G1" s="12" t="inlineStr">
        <is>
          <t>Lleva Soporte Batería</t>
        </is>
      </c>
    </row>
    <row r="2">
      <c r="A2" s="8" t="inlineStr">
        <is>
          <t>EC-3K</t>
        </is>
      </c>
      <c r="B2" s="9" t="inlineStr">
        <is>
          <t>Economy 3 kW</t>
        </is>
      </c>
      <c r="C2" s="8" t="inlineStr">
        <is>
          <t>Monofásica</t>
        </is>
      </c>
      <c r="D2" s="8" t="inlineStr">
        <is>
          <t>On-Grid</t>
        </is>
      </c>
      <c r="E2" s="8" t="n">
        <v>3</v>
      </c>
      <c r="F2" s="8" t="n">
        <v>6</v>
      </c>
      <c r="G2" s="8" t="inlineStr">
        <is>
          <t>N</t>
        </is>
      </c>
    </row>
    <row r="3">
      <c r="A3" s="8" t="inlineStr">
        <is>
          <t>EC-5K</t>
        </is>
      </c>
      <c r="B3" s="9" t="inlineStr">
        <is>
          <t>Economy Plus 5 kW</t>
        </is>
      </c>
      <c r="C3" s="8" t="inlineStr">
        <is>
          <t>Monofásica</t>
        </is>
      </c>
      <c r="D3" s="8" t="inlineStr">
        <is>
          <t>On-Grid</t>
        </is>
      </c>
      <c r="E3" s="8" t="n">
        <v>5</v>
      </c>
      <c r="F3" s="8" t="n">
        <v>10</v>
      </c>
      <c r="G3" s="8" t="inlineStr">
        <is>
          <t>N</t>
        </is>
      </c>
    </row>
    <row r="4">
      <c r="A4" s="8" t="inlineStr">
        <is>
          <t>EC-6K</t>
        </is>
      </c>
      <c r="B4" s="9" t="inlineStr">
        <is>
          <t>Economy Pro 6 kW</t>
        </is>
      </c>
      <c r="C4" s="8" t="inlineStr">
        <is>
          <t>Monofásica</t>
        </is>
      </c>
      <c r="D4" s="8" t="inlineStr">
        <is>
          <t>On-Grid</t>
        </is>
      </c>
      <c r="E4" s="8" t="n">
        <v>6</v>
      </c>
      <c r="F4" s="8" t="n">
        <v>12</v>
      </c>
      <c r="G4" s="8" t="inlineStr">
        <is>
          <t>N</t>
        </is>
      </c>
    </row>
    <row r="5">
      <c r="A5" s="8" t="inlineStr">
        <is>
          <t>AC/R-3K</t>
        </is>
      </c>
      <c r="B5" s="9" t="inlineStr">
        <is>
          <t>Always Connected / Rural 3 kW</t>
        </is>
      </c>
      <c r="C5" s="8" t="inlineStr">
        <is>
          <t>Monofásica</t>
        </is>
      </c>
      <c r="D5" s="8" t="inlineStr">
        <is>
          <t>Híbrido</t>
        </is>
      </c>
      <c r="E5" s="8" t="n">
        <v>3</v>
      </c>
      <c r="F5" s="8" t="n">
        <v>6</v>
      </c>
      <c r="G5" s="8" t="inlineStr">
        <is>
          <t>N</t>
        </is>
      </c>
    </row>
    <row r="6">
      <c r="A6" s="8" t="inlineStr">
        <is>
          <t>AC/R-5K</t>
        </is>
      </c>
      <c r="B6" s="9" t="inlineStr">
        <is>
          <t>Always Connected / Rural 5 kW</t>
        </is>
      </c>
      <c r="C6" s="8" t="inlineStr">
        <is>
          <t>Monofásica</t>
        </is>
      </c>
      <c r="D6" s="8" t="inlineStr">
        <is>
          <t>Híbrido</t>
        </is>
      </c>
      <c r="E6" s="8" t="n">
        <v>5</v>
      </c>
      <c r="F6" s="8" t="n">
        <v>12</v>
      </c>
      <c r="G6" s="8" t="inlineStr">
        <is>
          <t>N</t>
        </is>
      </c>
    </row>
    <row r="7">
      <c r="A7" s="8" t="inlineStr">
        <is>
          <t>ECT-8K</t>
        </is>
      </c>
      <c r="B7" s="9" t="inlineStr">
        <is>
          <t>Economy T 8 kW</t>
        </is>
      </c>
      <c r="C7" s="8" t="inlineStr">
        <is>
          <t>Trifásica</t>
        </is>
      </c>
      <c r="D7" s="8" t="inlineStr">
        <is>
          <t>On-Grid</t>
        </is>
      </c>
      <c r="E7" s="8" t="n">
        <v>8</v>
      </c>
      <c r="F7" s="8" t="n">
        <v>16</v>
      </c>
      <c r="G7" s="8" t="inlineStr">
        <is>
          <t>N</t>
        </is>
      </c>
    </row>
    <row r="8">
      <c r="A8" s="8" t="inlineStr">
        <is>
          <t>ECT-12K</t>
        </is>
      </c>
      <c r="B8" s="9" t="inlineStr">
        <is>
          <t>Economy T Plus 12 kW</t>
        </is>
      </c>
      <c r="C8" s="8" t="inlineStr">
        <is>
          <t>Trifásica</t>
        </is>
      </c>
      <c r="D8" s="8" t="inlineStr">
        <is>
          <t>On-Grid</t>
        </is>
      </c>
      <c r="E8" s="8" t="n">
        <v>12</v>
      </c>
      <c r="F8" s="8" t="n">
        <v>24</v>
      </c>
      <c r="G8" s="8" t="inlineStr">
        <is>
          <t>N</t>
        </is>
      </c>
    </row>
    <row r="9">
      <c r="A9" s="8" t="inlineStr">
        <is>
          <t>ECT-20K</t>
        </is>
      </c>
      <c r="B9" s="9" t="inlineStr">
        <is>
          <t>Economy T Pro 20 kW</t>
        </is>
      </c>
      <c r="C9" s="8" t="inlineStr">
        <is>
          <t>Trifásica</t>
        </is>
      </c>
      <c r="D9" s="8" t="inlineStr">
        <is>
          <t>On-Grid</t>
        </is>
      </c>
      <c r="E9" s="8" t="n">
        <v>20</v>
      </c>
      <c r="F9" s="8" t="n">
        <v>40</v>
      </c>
      <c r="G9" s="8" t="inlineStr">
        <is>
          <t>N</t>
        </is>
      </c>
    </row>
    <row r="10">
      <c r="A10" s="8" t="inlineStr">
        <is>
          <t>PS-8K</t>
        </is>
      </c>
      <c r="B10" s="9" t="inlineStr">
        <is>
          <t>Power Station 8 kW</t>
        </is>
      </c>
      <c r="C10" s="8" t="inlineStr">
        <is>
          <t>Trifásica</t>
        </is>
      </c>
      <c r="D10" s="8" t="inlineStr">
        <is>
          <t>Híbrido</t>
        </is>
      </c>
      <c r="E10" s="8" t="n">
        <v>8</v>
      </c>
      <c r="F10" s="8" t="n">
        <v>16</v>
      </c>
      <c r="G10" s="8" t="inlineStr">
        <is>
          <t>S</t>
        </is>
      </c>
    </row>
    <row r="11">
      <c r="A11" s="8" t="inlineStr">
        <is>
          <t>PS-10K</t>
        </is>
      </c>
      <c r="B11" s="9" t="inlineStr">
        <is>
          <t>Power Station Plus 10 kW</t>
        </is>
      </c>
      <c r="C11" s="8" t="inlineStr">
        <is>
          <t>Trifásica</t>
        </is>
      </c>
      <c r="D11" s="8" t="inlineStr">
        <is>
          <t>Híbrido</t>
        </is>
      </c>
      <c r="E11" s="8" t="n">
        <v>10</v>
      </c>
      <c r="F11" s="8" t="n">
        <v>18</v>
      </c>
      <c r="G11" s="8" t="inlineStr">
        <is>
          <t>S</t>
        </is>
      </c>
    </row>
    <row r="12">
      <c r="A12" s="8" t="inlineStr">
        <is>
          <t>PS-12K</t>
        </is>
      </c>
      <c r="B12" s="9" t="inlineStr">
        <is>
          <t>Power Station Pro 12 kW</t>
        </is>
      </c>
      <c r="C12" s="8" t="inlineStr">
        <is>
          <t>Trifásica</t>
        </is>
      </c>
      <c r="D12" s="8" t="inlineStr">
        <is>
          <t>Híbrido</t>
        </is>
      </c>
      <c r="E12" s="8" t="n">
        <v>12</v>
      </c>
      <c r="F12" s="8" t="n">
        <v>24</v>
      </c>
      <c r="G12" s="8" t="inlineStr">
        <is>
          <t>S</t>
        </is>
      </c>
    </row>
    <row r="13">
      <c r="A13" s="8" t="inlineStr">
        <is>
          <t>PS-15K</t>
        </is>
      </c>
      <c r="B13" s="9" t="inlineStr">
        <is>
          <t>Power Station Mega 15 kW</t>
        </is>
      </c>
      <c r="C13" s="8" t="inlineStr">
        <is>
          <t>Trifásica</t>
        </is>
      </c>
      <c r="D13" s="8" t="inlineStr">
        <is>
          <t>Híbrido</t>
        </is>
      </c>
      <c r="E13" s="8" t="n">
        <v>15</v>
      </c>
      <c r="F13" s="8" t="n">
        <v>32</v>
      </c>
      <c r="G13" s="8" t="inlineStr">
        <is>
          <t>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8" customWidth="1" min="4" max="4"/>
    <col width="42" customWidth="1" min="5" max="5"/>
    <col width="14" customWidth="1" min="6" max="6"/>
    <col width="12" customWidth="1" min="7" max="7"/>
    <col width="22" customWidth="1" min="8" max="8"/>
  </cols>
  <sheetData>
    <row r="1">
      <c r="A1" s="12" t="inlineStr">
        <is>
          <t>Key</t>
        </is>
      </c>
      <c r="B1" s="12" t="inlineStr">
        <is>
          <t>Código Kit</t>
        </is>
      </c>
      <c r="C1" s="12" t="inlineStr">
        <is>
          <t>Tipo</t>
        </is>
      </c>
      <c r="D1" s="12" t="inlineStr">
        <is>
          <t>Qty</t>
        </is>
      </c>
      <c r="E1" s="12" t="inlineStr">
        <is>
          <t>Item</t>
        </is>
      </c>
      <c r="F1" s="12" t="inlineStr">
        <is>
          <t>Categoría</t>
        </is>
      </c>
      <c r="G1" s="12" t="inlineStr">
        <is>
          <t>Marca</t>
        </is>
      </c>
      <c r="H1" s="12" t="inlineStr">
        <is>
          <t>Código</t>
        </is>
      </c>
    </row>
    <row r="2">
      <c r="A2" s="8" t="inlineStr">
        <is>
          <t>EC-3K|1</t>
        </is>
      </c>
      <c r="B2" s="8" t="inlineStr">
        <is>
          <t>EC-3K</t>
        </is>
      </c>
      <c r="C2" s="8" t="inlineStr">
        <is>
          <t>Base</t>
        </is>
      </c>
      <c r="D2" s="8" t="n">
        <v>1</v>
      </c>
      <c r="E2" s="9" t="inlineStr">
        <is>
          <t>Inversor Monofásico ON-GRID 3 kW</t>
        </is>
      </c>
      <c r="F2" s="8" t="inlineStr">
        <is>
          <t>Inverters</t>
        </is>
      </c>
      <c r="G2" s="8" t="inlineStr">
        <is>
          <t>GOODWE</t>
        </is>
      </c>
      <c r="H2" s="8" t="inlineStr">
        <is>
          <t>GW3000-XS-30</t>
        </is>
      </c>
    </row>
    <row r="3">
      <c r="A3" s="8" t="inlineStr">
        <is>
          <t>EC-3K|2</t>
        </is>
      </c>
      <c r="B3" s="8" t="inlineStr">
        <is>
          <t>EC-3K</t>
        </is>
      </c>
      <c r="C3" s="8" t="inlineStr">
        <is>
          <t>Base</t>
        </is>
      </c>
      <c r="D3" s="8" t="n">
        <v>6</v>
      </c>
      <c r="E3" s="9" t="inlineStr">
        <is>
          <t>Módulo Fotovoltaico TOPCon Bifacial 585w</t>
        </is>
      </c>
      <c r="F3" s="8" t="inlineStr">
        <is>
          <t>Paneles FV</t>
        </is>
      </c>
      <c r="G3" s="8" t="inlineStr">
        <is>
          <t>TCL SOLAR</t>
        </is>
      </c>
      <c r="H3" s="8" t="inlineStr">
        <is>
          <t>TCL-MI585DH182-72NT</t>
        </is>
      </c>
    </row>
    <row r="4">
      <c r="A4" s="8" t="inlineStr">
        <is>
          <t>EC-3K|3</t>
        </is>
      </c>
      <c r="B4" s="8" t="inlineStr">
        <is>
          <t>EC-3K</t>
        </is>
      </c>
      <c r="C4" s="8" t="inlineStr">
        <is>
          <t>Base</t>
        </is>
      </c>
      <c r="D4" s="8" t="n">
        <v>1</v>
      </c>
      <c r="E4" s="9" t="inlineStr">
        <is>
          <t>SET Cables + Conectores</t>
        </is>
      </c>
      <c r="F4" s="8" t="inlineStr">
        <is>
          <t>Cables</t>
        </is>
      </c>
      <c r="G4" s="8" t="inlineStr">
        <is>
          <t>GENERICO</t>
        </is>
      </c>
      <c r="H4" s="8" t="inlineStr">
        <is>
          <t>CC-20</t>
        </is>
      </c>
    </row>
    <row r="5">
      <c r="A5" s="8" t="inlineStr">
        <is>
          <t>EC-3K|4</t>
        </is>
      </c>
      <c r="B5" s="8" t="inlineStr">
        <is>
          <t>EC-3K</t>
        </is>
      </c>
      <c r="C5" s="8" t="inlineStr">
        <is>
          <t>Base</t>
        </is>
      </c>
      <c r="D5" s="8" t="n">
        <v>1</v>
      </c>
      <c r="E5" s="9" t="inlineStr">
        <is>
          <t>Smart Energy Controller Monofásico</t>
        </is>
      </c>
      <c r="F5" s="8" t="inlineStr">
        <is>
          <t>Accesorios</t>
        </is>
      </c>
      <c r="G5" s="8" t="inlineStr">
        <is>
          <t>GOODWE</t>
        </is>
      </c>
      <c r="H5" s="8" t="inlineStr">
        <is>
          <t>GMK110</t>
        </is>
      </c>
    </row>
    <row r="6">
      <c r="A6" s="8" t="inlineStr">
        <is>
          <t>EC-5K|1</t>
        </is>
      </c>
      <c r="B6" s="8" t="inlineStr">
        <is>
          <t>EC-5K</t>
        </is>
      </c>
      <c r="C6" s="8" t="inlineStr">
        <is>
          <t>Base</t>
        </is>
      </c>
      <c r="D6" s="8" t="n">
        <v>1</v>
      </c>
      <c r="E6" s="9" t="inlineStr">
        <is>
          <t>Inversor Monofásico ON-GRID 5 kW</t>
        </is>
      </c>
      <c r="F6" s="8" t="inlineStr">
        <is>
          <t>Inverters</t>
        </is>
      </c>
      <c r="G6" s="8" t="inlineStr">
        <is>
          <t>GOODWE</t>
        </is>
      </c>
      <c r="H6" s="8" t="inlineStr">
        <is>
          <t>GW5000-MS-30</t>
        </is>
      </c>
    </row>
    <row r="7">
      <c r="A7" s="8" t="inlineStr">
        <is>
          <t>EC-5K|2</t>
        </is>
      </c>
      <c r="B7" s="8" t="inlineStr">
        <is>
          <t>EC-5K</t>
        </is>
      </c>
      <c r="C7" s="8" t="inlineStr">
        <is>
          <t>Base</t>
        </is>
      </c>
      <c r="D7" s="8" t="n">
        <v>10</v>
      </c>
      <c r="E7" s="9" t="inlineStr">
        <is>
          <t>Módulo Fotovoltaico TOPCon Bifacial 585w</t>
        </is>
      </c>
      <c r="F7" s="8" t="inlineStr">
        <is>
          <t>Paneles FV</t>
        </is>
      </c>
      <c r="G7" s="8" t="inlineStr">
        <is>
          <t>TCL SOLAR</t>
        </is>
      </c>
      <c r="H7" s="8" t="inlineStr">
        <is>
          <t>TCL-MI585DH182-72NT</t>
        </is>
      </c>
    </row>
    <row r="8">
      <c r="A8" s="8" t="inlineStr">
        <is>
          <t>EC-5K|3</t>
        </is>
      </c>
      <c r="B8" s="8" t="inlineStr">
        <is>
          <t>EC-5K</t>
        </is>
      </c>
      <c r="C8" s="8" t="inlineStr">
        <is>
          <t>Base</t>
        </is>
      </c>
      <c r="D8" s="8" t="n">
        <v>2</v>
      </c>
      <c r="E8" s="9" t="inlineStr">
        <is>
          <t>SET Cables + Conectores</t>
        </is>
      </c>
      <c r="F8" s="8" t="inlineStr">
        <is>
          <t>Cables</t>
        </is>
      </c>
      <c r="G8" s="8" t="inlineStr">
        <is>
          <t>GENERICO</t>
        </is>
      </c>
      <c r="H8" s="8" t="inlineStr">
        <is>
          <t>CC-20</t>
        </is>
      </c>
    </row>
    <row r="9">
      <c r="A9" s="8" t="inlineStr">
        <is>
          <t>EC-5K|4</t>
        </is>
      </c>
      <c r="B9" s="8" t="inlineStr">
        <is>
          <t>EC-5K</t>
        </is>
      </c>
      <c r="C9" s="8" t="inlineStr">
        <is>
          <t>Base</t>
        </is>
      </c>
      <c r="D9" s="8" t="n">
        <v>1</v>
      </c>
      <c r="E9" s="9" t="inlineStr">
        <is>
          <t>Smart Energy Controller Monofásico</t>
        </is>
      </c>
      <c r="F9" s="8" t="inlineStr">
        <is>
          <t>Accesorios</t>
        </is>
      </c>
      <c r="G9" s="8" t="inlineStr">
        <is>
          <t>GOODWE</t>
        </is>
      </c>
      <c r="H9" s="8" t="inlineStr">
        <is>
          <t>GMK110</t>
        </is>
      </c>
    </row>
    <row r="10">
      <c r="A10" s="8" t="inlineStr">
        <is>
          <t>EC-6K|1</t>
        </is>
      </c>
      <c r="B10" s="8" t="inlineStr">
        <is>
          <t>EC-6K</t>
        </is>
      </c>
      <c r="C10" s="8" t="inlineStr">
        <is>
          <t>Base</t>
        </is>
      </c>
      <c r="D10" s="8" t="n">
        <v>1</v>
      </c>
      <c r="E10" s="9" t="inlineStr">
        <is>
          <t>Inversor Monofásico ON-GRID 6 kW</t>
        </is>
      </c>
      <c r="F10" s="8" t="inlineStr">
        <is>
          <t>Inverters</t>
        </is>
      </c>
      <c r="G10" s="8" t="inlineStr">
        <is>
          <t>GOODWE</t>
        </is>
      </c>
      <c r="H10" s="8" t="inlineStr">
        <is>
          <t>GW6000-MS-30</t>
        </is>
      </c>
    </row>
    <row r="11">
      <c r="A11" s="8" t="inlineStr">
        <is>
          <t>EC-6K|2</t>
        </is>
      </c>
      <c r="B11" s="8" t="inlineStr">
        <is>
          <t>EC-6K</t>
        </is>
      </c>
      <c r="C11" s="8" t="inlineStr">
        <is>
          <t>Base</t>
        </is>
      </c>
      <c r="D11" s="8" t="n">
        <v>12</v>
      </c>
      <c r="E11" s="9" t="inlineStr">
        <is>
          <t>Módulo Fotovoltaico TOPCon Bifacial 585w</t>
        </is>
      </c>
      <c r="F11" s="8" t="inlineStr">
        <is>
          <t>Paneles FV</t>
        </is>
      </c>
      <c r="G11" s="8" t="inlineStr">
        <is>
          <t>TCL SOLAR</t>
        </is>
      </c>
      <c r="H11" s="8" t="inlineStr">
        <is>
          <t>TCL-MI585DH182-72NT</t>
        </is>
      </c>
    </row>
    <row r="12">
      <c r="A12" s="8" t="inlineStr">
        <is>
          <t>EC-6K|3</t>
        </is>
      </c>
      <c r="B12" s="8" t="inlineStr">
        <is>
          <t>EC-6K</t>
        </is>
      </c>
      <c r="C12" s="8" t="inlineStr">
        <is>
          <t>Base</t>
        </is>
      </c>
      <c r="D12" s="8" t="n">
        <v>2</v>
      </c>
      <c r="E12" s="9" t="inlineStr">
        <is>
          <t>SET Cables + Conectores</t>
        </is>
      </c>
      <c r="F12" s="8" t="inlineStr">
        <is>
          <t>Cables</t>
        </is>
      </c>
      <c r="G12" s="8" t="inlineStr">
        <is>
          <t>GENERICO</t>
        </is>
      </c>
      <c r="H12" s="8" t="inlineStr">
        <is>
          <t>CC-20</t>
        </is>
      </c>
    </row>
    <row r="13">
      <c r="A13" s="8" t="inlineStr">
        <is>
          <t>EC-6K|4</t>
        </is>
      </c>
      <c r="B13" s="8" t="inlineStr">
        <is>
          <t>EC-6K</t>
        </is>
      </c>
      <c r="C13" s="8" t="inlineStr">
        <is>
          <t>Base</t>
        </is>
      </c>
      <c r="D13" s="8" t="n">
        <v>1</v>
      </c>
      <c r="E13" s="9" t="inlineStr">
        <is>
          <t>Smart Energy Controller Monofásico</t>
        </is>
      </c>
      <c r="F13" s="8" t="inlineStr">
        <is>
          <t>Accesorios</t>
        </is>
      </c>
      <c r="G13" s="8" t="inlineStr">
        <is>
          <t>GOODWE</t>
        </is>
      </c>
      <c r="H13" s="8" t="inlineStr">
        <is>
          <t>GMK110</t>
        </is>
      </c>
    </row>
    <row r="14">
      <c r="A14" s="8" t="inlineStr">
        <is>
          <t>AC/R-3K|1</t>
        </is>
      </c>
      <c r="B14" s="8" t="inlineStr">
        <is>
          <t>AC/R-3K</t>
        </is>
      </c>
      <c r="C14" s="8" t="inlineStr">
        <is>
          <t>Base</t>
        </is>
      </c>
      <c r="D14" s="8" t="n">
        <v>1</v>
      </c>
      <c r="E14" s="9" t="inlineStr">
        <is>
          <t>Inversor Monofásico HIBRIDO 3 kW</t>
        </is>
      </c>
      <c r="F14" s="8" t="inlineStr">
        <is>
          <t>Inverters</t>
        </is>
      </c>
      <c r="G14" s="8" t="inlineStr">
        <is>
          <t>GOODWE</t>
        </is>
      </c>
      <c r="H14" s="8" t="inlineStr">
        <is>
          <t>GW3000-ES-20</t>
        </is>
      </c>
    </row>
    <row r="15">
      <c r="A15" s="8" t="inlineStr">
        <is>
          <t>AC/R-3K|2</t>
        </is>
      </c>
      <c r="B15" s="8" t="inlineStr">
        <is>
          <t>AC/R-3K</t>
        </is>
      </c>
      <c r="C15" s="8" t="inlineStr">
        <is>
          <t>Base</t>
        </is>
      </c>
      <c r="D15" s="8" t="n">
        <v>6</v>
      </c>
      <c r="E15" s="9" t="inlineStr">
        <is>
          <t>Módulo Fotovoltaico TOPCon Bifacial 585w</t>
        </is>
      </c>
      <c r="F15" s="8" t="inlineStr">
        <is>
          <t>Paneles FV</t>
        </is>
      </c>
      <c r="G15" s="8" t="inlineStr">
        <is>
          <t>TCL SOLAR</t>
        </is>
      </c>
      <c r="H15" s="8" t="inlineStr">
        <is>
          <t>TCL-MI585DH182-72NT</t>
        </is>
      </c>
    </row>
    <row r="16">
      <c r="A16" s="8" t="inlineStr">
        <is>
          <t>AC/R-3K|3</t>
        </is>
      </c>
      <c r="B16" s="8" t="inlineStr">
        <is>
          <t>AC/R-3K</t>
        </is>
      </c>
      <c r="C16" s="8" t="inlineStr">
        <is>
          <t>Base</t>
        </is>
      </c>
      <c r="D16" s="8" t="n">
        <v>1</v>
      </c>
      <c r="E16" s="9" t="inlineStr">
        <is>
          <t>SET Cables + Conectores</t>
        </is>
      </c>
      <c r="F16" s="8" t="inlineStr">
        <is>
          <t>Cables</t>
        </is>
      </c>
      <c r="G16" s="8" t="inlineStr">
        <is>
          <t>GENERICO</t>
        </is>
      </c>
      <c r="H16" s="8" t="inlineStr">
        <is>
          <t>CC-20</t>
        </is>
      </c>
    </row>
    <row r="17">
      <c r="A17" s="8" t="inlineStr">
        <is>
          <t>AC/R-3K|4</t>
        </is>
      </c>
      <c r="B17" s="8" t="inlineStr">
        <is>
          <t>AC/R-3K</t>
        </is>
      </c>
      <c r="C17" s="8" t="inlineStr">
        <is>
          <t>Base</t>
        </is>
      </c>
      <c r="D17" s="8" t="n">
        <v>1</v>
      </c>
      <c r="E17" s="9" t="inlineStr">
        <is>
          <t>Batería 5kWh - 48V (con supresión de fuego)</t>
        </is>
      </c>
      <c r="F17" s="8" t="inlineStr">
        <is>
          <t>Baterías</t>
        </is>
      </c>
      <c r="G17" s="8" t="inlineStr">
        <is>
          <t>GOODWE</t>
        </is>
      </c>
      <c r="H17" s="8" t="inlineStr">
        <is>
          <t>LX U5.0-30</t>
        </is>
      </c>
    </row>
    <row r="18">
      <c r="A18" s="8" t="inlineStr">
        <is>
          <t>AC/R-3K|5</t>
        </is>
      </c>
      <c r="B18" s="8" t="inlineStr">
        <is>
          <t>AC/R-3K</t>
        </is>
      </c>
      <c r="C18" s="8" t="inlineStr">
        <is>
          <t>Base</t>
        </is>
      </c>
      <c r="D18" s="8" t="n">
        <v>1</v>
      </c>
      <c r="E18" s="9" t="inlineStr">
        <is>
          <t>Smart Energy Controller Monofásico</t>
        </is>
      </c>
      <c r="F18" s="8" t="inlineStr">
        <is>
          <t>Accesorios</t>
        </is>
      </c>
      <c r="G18" s="8" t="inlineStr">
        <is>
          <t>GOODWE</t>
        </is>
      </c>
      <c r="H18" s="8" t="inlineStr">
        <is>
          <t>GMK110</t>
        </is>
      </c>
    </row>
    <row r="19">
      <c r="A19" s="8" t="inlineStr">
        <is>
          <t>AC/R-5K|1</t>
        </is>
      </c>
      <c r="B19" s="8" t="inlineStr">
        <is>
          <t>AC/R-5K</t>
        </is>
      </c>
      <c r="C19" s="8" t="inlineStr">
        <is>
          <t>Base</t>
        </is>
      </c>
      <c r="D19" s="8" t="n">
        <v>1</v>
      </c>
      <c r="E19" s="9" t="inlineStr">
        <is>
          <t>Inversor Monofásico HIBRIDO 5 kW</t>
        </is>
      </c>
      <c r="F19" s="8" t="inlineStr">
        <is>
          <t>Inverters</t>
        </is>
      </c>
      <c r="G19" s="8" t="inlineStr">
        <is>
          <t>GOODWE</t>
        </is>
      </c>
      <c r="H19" s="8" t="inlineStr">
        <is>
          <t>GW5000-ES-20</t>
        </is>
      </c>
    </row>
    <row r="20">
      <c r="A20" s="8" t="inlineStr">
        <is>
          <t>AC/R-5K|2</t>
        </is>
      </c>
      <c r="B20" s="8" t="inlineStr">
        <is>
          <t>AC/R-5K</t>
        </is>
      </c>
      <c r="C20" s="8" t="inlineStr">
        <is>
          <t>Base</t>
        </is>
      </c>
      <c r="D20" s="8" t="n">
        <v>12</v>
      </c>
      <c r="E20" s="9" t="inlineStr">
        <is>
          <t>Módulo Fotovoltaico TOPCon Bifacial 585w</t>
        </is>
      </c>
      <c r="F20" s="8" t="inlineStr">
        <is>
          <t>Paneles FV</t>
        </is>
      </c>
      <c r="G20" s="8" t="inlineStr">
        <is>
          <t>TCL SOLAR</t>
        </is>
      </c>
      <c r="H20" s="8" t="inlineStr">
        <is>
          <t>TCL-MI585DH182-72NT</t>
        </is>
      </c>
    </row>
    <row r="21">
      <c r="A21" s="8" t="inlineStr">
        <is>
          <t>AC/R-5K|3</t>
        </is>
      </c>
      <c r="B21" s="8" t="inlineStr">
        <is>
          <t>AC/R-5K</t>
        </is>
      </c>
      <c r="C21" s="8" t="inlineStr">
        <is>
          <t>Base</t>
        </is>
      </c>
      <c r="D21" s="8" t="n">
        <v>2</v>
      </c>
      <c r="E21" s="9" t="inlineStr">
        <is>
          <t>SET Cables + Conectores</t>
        </is>
      </c>
      <c r="F21" s="8" t="inlineStr">
        <is>
          <t>Cables</t>
        </is>
      </c>
      <c r="G21" s="8" t="inlineStr">
        <is>
          <t>GENERICO</t>
        </is>
      </c>
      <c r="H21" s="8" t="inlineStr">
        <is>
          <t>CC-20</t>
        </is>
      </c>
    </row>
    <row r="22">
      <c r="A22" s="8" t="inlineStr">
        <is>
          <t>AC/R-5K|4</t>
        </is>
      </c>
      <c r="B22" s="8" t="inlineStr">
        <is>
          <t>AC/R-5K</t>
        </is>
      </c>
      <c r="C22" s="8" t="inlineStr">
        <is>
          <t>Base</t>
        </is>
      </c>
      <c r="D22" s="8" t="n">
        <v>1</v>
      </c>
      <c r="E22" s="9" t="inlineStr">
        <is>
          <t>Batería 5kWh - 48V (con supresión de fuego)</t>
        </is>
      </c>
      <c r="F22" s="8" t="inlineStr">
        <is>
          <t>Baterías</t>
        </is>
      </c>
      <c r="G22" s="8" t="inlineStr">
        <is>
          <t>GOODWE</t>
        </is>
      </c>
      <c r="H22" s="8" t="inlineStr">
        <is>
          <t>LX U5.0-30</t>
        </is>
      </c>
    </row>
    <row r="23">
      <c r="A23" s="8" t="inlineStr">
        <is>
          <t>AC/R-5K|5</t>
        </is>
      </c>
      <c r="B23" s="8" t="inlineStr">
        <is>
          <t>AC/R-5K</t>
        </is>
      </c>
      <c r="C23" s="8" t="inlineStr">
        <is>
          <t>Base</t>
        </is>
      </c>
      <c r="D23" s="8" t="n">
        <v>1</v>
      </c>
      <c r="E23" s="9" t="inlineStr">
        <is>
          <t>Smart Energy Controller Monofásico</t>
        </is>
      </c>
      <c r="F23" s="8" t="inlineStr">
        <is>
          <t>Accesorios</t>
        </is>
      </c>
      <c r="G23" s="8" t="inlineStr">
        <is>
          <t>GOODWE</t>
        </is>
      </c>
      <c r="H23" s="8" t="inlineStr">
        <is>
          <t>GMK110</t>
        </is>
      </c>
    </row>
    <row r="24">
      <c r="A24" s="8" t="inlineStr">
        <is>
          <t>ECT-8K|1</t>
        </is>
      </c>
      <c r="B24" s="8" t="inlineStr">
        <is>
          <t>ECT-8K</t>
        </is>
      </c>
      <c r="C24" s="8" t="inlineStr">
        <is>
          <t>Base</t>
        </is>
      </c>
      <c r="D24" s="8" t="n">
        <v>1</v>
      </c>
      <c r="E24" s="9" t="inlineStr">
        <is>
          <t>Inversor Trifásico ON-GRID 8 kW</t>
        </is>
      </c>
      <c r="F24" s="8" t="inlineStr">
        <is>
          <t>Inverters</t>
        </is>
      </c>
      <c r="G24" s="8" t="inlineStr">
        <is>
          <t>GOODWE</t>
        </is>
      </c>
      <c r="H24" s="8" t="inlineStr">
        <is>
          <t>GW8000-SDT-30</t>
        </is>
      </c>
    </row>
    <row r="25">
      <c r="A25" s="8" t="inlineStr">
        <is>
          <t>ECT-8K|2</t>
        </is>
      </c>
      <c r="B25" s="8" t="inlineStr">
        <is>
          <t>ECT-8K</t>
        </is>
      </c>
      <c r="C25" s="8" t="inlineStr">
        <is>
          <t>Base</t>
        </is>
      </c>
      <c r="D25" s="8" t="n">
        <v>16</v>
      </c>
      <c r="E25" s="9" t="inlineStr">
        <is>
          <t>Módulo Fotovoltaico TOPCon Bifacial 585w</t>
        </is>
      </c>
      <c r="F25" s="8" t="inlineStr">
        <is>
          <t>Paneles FV</t>
        </is>
      </c>
      <c r="G25" s="8" t="inlineStr">
        <is>
          <t>TCL SOLAR</t>
        </is>
      </c>
      <c r="H25" s="8" t="inlineStr">
        <is>
          <t>TCL-MI585DH182-72NT</t>
        </is>
      </c>
    </row>
    <row r="26">
      <c r="A26" s="8" t="inlineStr">
        <is>
          <t>ECT-8K|3</t>
        </is>
      </c>
      <c r="B26" s="8" t="inlineStr">
        <is>
          <t>ECT-8K</t>
        </is>
      </c>
      <c r="C26" s="8" t="inlineStr">
        <is>
          <t>Base</t>
        </is>
      </c>
      <c r="D26" s="8" t="n">
        <v>2</v>
      </c>
      <c r="E26" s="9" t="inlineStr">
        <is>
          <t>SET Cables + Conectores</t>
        </is>
      </c>
      <c r="F26" s="8" t="inlineStr">
        <is>
          <t>Cables</t>
        </is>
      </c>
      <c r="G26" s="8" t="inlineStr">
        <is>
          <t>GENERICO</t>
        </is>
      </c>
      <c r="H26" s="8" t="inlineStr">
        <is>
          <t>CC-20</t>
        </is>
      </c>
    </row>
    <row r="27">
      <c r="A27" s="8" t="inlineStr">
        <is>
          <t>ECT-8K|4</t>
        </is>
      </c>
      <c r="B27" s="8" t="inlineStr">
        <is>
          <t>ECT-8K</t>
        </is>
      </c>
      <c r="C27" s="8" t="inlineStr">
        <is>
          <t>Base</t>
        </is>
      </c>
      <c r="D27" s="8" t="n">
        <v>1</v>
      </c>
      <c r="E27" s="9" t="inlineStr">
        <is>
          <t>Smart Energy Controller Trifásico</t>
        </is>
      </c>
      <c r="F27" s="8" t="inlineStr">
        <is>
          <t>Accesorios</t>
        </is>
      </c>
      <c r="G27" s="8" t="inlineStr">
        <is>
          <t>GOODWE</t>
        </is>
      </c>
      <c r="H27" s="8" t="inlineStr">
        <is>
          <t>GMK330</t>
        </is>
      </c>
    </row>
    <row r="28">
      <c r="A28" s="8" t="inlineStr">
        <is>
          <t>ECT-12K|1</t>
        </is>
      </c>
      <c r="B28" s="8" t="inlineStr">
        <is>
          <t>ECT-12K</t>
        </is>
      </c>
      <c r="C28" s="8" t="inlineStr">
        <is>
          <t>Base</t>
        </is>
      </c>
      <c r="D28" s="8" t="n">
        <v>1</v>
      </c>
      <c r="E28" s="9" t="inlineStr">
        <is>
          <t>Inversor Trifásico ON-GRID 12 kW</t>
        </is>
      </c>
      <c r="F28" s="8" t="inlineStr">
        <is>
          <t>Inverters</t>
        </is>
      </c>
      <c r="G28" s="8" t="inlineStr">
        <is>
          <t>GOODWE</t>
        </is>
      </c>
      <c r="H28" s="8" t="inlineStr">
        <is>
          <t>GW12K-SDT-30</t>
        </is>
      </c>
    </row>
    <row r="29">
      <c r="A29" s="8" t="inlineStr">
        <is>
          <t>ECT-12K|2</t>
        </is>
      </c>
      <c r="B29" s="8" t="inlineStr">
        <is>
          <t>ECT-12K</t>
        </is>
      </c>
      <c r="C29" s="8" t="inlineStr">
        <is>
          <t>Base</t>
        </is>
      </c>
      <c r="D29" s="8" t="n">
        <v>24</v>
      </c>
      <c r="E29" s="9" t="inlineStr">
        <is>
          <t>Módulo Fotovoltaico TOPCon Bifacial 585w</t>
        </is>
      </c>
      <c r="F29" s="8" t="inlineStr">
        <is>
          <t>Paneles FV</t>
        </is>
      </c>
      <c r="G29" s="8" t="inlineStr">
        <is>
          <t>TCL SOLAR</t>
        </is>
      </c>
      <c r="H29" s="8" t="inlineStr">
        <is>
          <t>TCL-MI585DH182-72NT</t>
        </is>
      </c>
    </row>
    <row r="30">
      <c r="A30" s="8" t="inlineStr">
        <is>
          <t>ECT-12K|3</t>
        </is>
      </c>
      <c r="B30" s="8" t="inlineStr">
        <is>
          <t>ECT-12K</t>
        </is>
      </c>
      <c r="C30" s="8" t="inlineStr">
        <is>
          <t>Base</t>
        </is>
      </c>
      <c r="D30" s="8" t="n">
        <v>3</v>
      </c>
      <c r="E30" s="9" t="inlineStr">
        <is>
          <t>SET Cables + Conectores</t>
        </is>
      </c>
      <c r="F30" s="8" t="inlineStr">
        <is>
          <t>Cables</t>
        </is>
      </c>
      <c r="G30" s="8" t="inlineStr">
        <is>
          <t>GENERICO</t>
        </is>
      </c>
      <c r="H30" s="8" t="inlineStr">
        <is>
          <t>CC-20</t>
        </is>
      </c>
    </row>
    <row r="31">
      <c r="A31" s="8" t="inlineStr">
        <is>
          <t>ECT-12K|4</t>
        </is>
      </c>
      <c r="B31" s="8" t="inlineStr">
        <is>
          <t>ECT-12K</t>
        </is>
      </c>
      <c r="C31" s="8" t="inlineStr">
        <is>
          <t>Base</t>
        </is>
      </c>
      <c r="D31" s="8" t="n">
        <v>1</v>
      </c>
      <c r="E31" s="9" t="inlineStr">
        <is>
          <t>Smart Energy Controller Trifásico</t>
        </is>
      </c>
      <c r="F31" s="8" t="inlineStr">
        <is>
          <t>Accesorios</t>
        </is>
      </c>
      <c r="G31" s="8" t="inlineStr">
        <is>
          <t>GOODWE</t>
        </is>
      </c>
      <c r="H31" s="8" t="inlineStr">
        <is>
          <t>GMK330</t>
        </is>
      </c>
    </row>
    <row r="32">
      <c r="A32" s="8" t="inlineStr">
        <is>
          <t>ECT-20K|1</t>
        </is>
      </c>
      <c r="B32" s="8" t="inlineStr">
        <is>
          <t>ECT-20K</t>
        </is>
      </c>
      <c r="C32" s="8" t="inlineStr">
        <is>
          <t>Base</t>
        </is>
      </c>
      <c r="D32" s="8" t="n">
        <v>1</v>
      </c>
      <c r="E32" s="9" t="inlineStr">
        <is>
          <t>Inversor Trifásico ON-GRID 20 kW</t>
        </is>
      </c>
      <c r="F32" s="8" t="inlineStr">
        <is>
          <t>Inverters</t>
        </is>
      </c>
      <c r="G32" s="8" t="inlineStr">
        <is>
          <t>GOODWE</t>
        </is>
      </c>
      <c r="H32" s="8" t="inlineStr">
        <is>
          <t>GW20K-SDT-30</t>
        </is>
      </c>
    </row>
    <row r="33">
      <c r="A33" s="8" t="inlineStr">
        <is>
          <t>ECT-20K|2</t>
        </is>
      </c>
      <c r="B33" s="8" t="inlineStr">
        <is>
          <t>ECT-20K</t>
        </is>
      </c>
      <c r="C33" s="8" t="inlineStr">
        <is>
          <t>Base</t>
        </is>
      </c>
      <c r="D33" s="8" t="n">
        <v>40</v>
      </c>
      <c r="E33" s="9" t="inlineStr">
        <is>
          <t>Módulo Fotovoltaico TOPCon Bifacial 585w</t>
        </is>
      </c>
      <c r="F33" s="8" t="inlineStr">
        <is>
          <t>Paneles FV</t>
        </is>
      </c>
      <c r="G33" s="8" t="inlineStr">
        <is>
          <t>TCL SOLAR</t>
        </is>
      </c>
      <c r="H33" s="8" t="inlineStr">
        <is>
          <t>TCL-MI585DH182-72NT</t>
        </is>
      </c>
    </row>
    <row r="34">
      <c r="A34" s="8" t="inlineStr">
        <is>
          <t>ECT-20K|3</t>
        </is>
      </c>
      <c r="B34" s="8" t="inlineStr">
        <is>
          <t>ECT-20K</t>
        </is>
      </c>
      <c r="C34" s="8" t="inlineStr">
        <is>
          <t>Base</t>
        </is>
      </c>
      <c r="D34" s="8" t="n">
        <v>5</v>
      </c>
      <c r="E34" s="9" t="inlineStr">
        <is>
          <t>SET Cables + Conectores</t>
        </is>
      </c>
      <c r="F34" s="8" t="inlineStr">
        <is>
          <t>Cables</t>
        </is>
      </c>
      <c r="G34" s="8" t="inlineStr">
        <is>
          <t>GENERICO</t>
        </is>
      </c>
      <c r="H34" s="8" t="inlineStr">
        <is>
          <t>CC-20</t>
        </is>
      </c>
    </row>
    <row r="35">
      <c r="A35" s="8" t="inlineStr">
        <is>
          <t>ECT-20K|4</t>
        </is>
      </c>
      <c r="B35" s="8" t="inlineStr">
        <is>
          <t>ECT-20K</t>
        </is>
      </c>
      <c r="C35" s="8" t="inlineStr">
        <is>
          <t>Base</t>
        </is>
      </c>
      <c r="D35" s="8" t="n">
        <v>1</v>
      </c>
      <c r="E35" s="9" t="inlineStr">
        <is>
          <t>Smart Energy Controller Trifásico</t>
        </is>
      </c>
      <c r="F35" s="8" t="inlineStr">
        <is>
          <t>Accesorios</t>
        </is>
      </c>
      <c r="G35" s="8" t="inlineStr">
        <is>
          <t>GOODWE</t>
        </is>
      </c>
      <c r="H35" s="8" t="inlineStr">
        <is>
          <t>GMK330</t>
        </is>
      </c>
    </row>
    <row r="36">
      <c r="A36" s="8" t="inlineStr">
        <is>
          <t>PS-8K|1</t>
        </is>
      </c>
      <c r="B36" s="8" t="inlineStr">
        <is>
          <t>PS-8K</t>
        </is>
      </c>
      <c r="C36" s="8" t="inlineStr">
        <is>
          <t>Base</t>
        </is>
      </c>
      <c r="D36" s="8" t="n">
        <v>1</v>
      </c>
      <c r="E36" s="9" t="inlineStr">
        <is>
          <t>Inversor Trifásico HIBRIDO 8 kW</t>
        </is>
      </c>
      <c r="F36" s="8" t="inlineStr">
        <is>
          <t>Inverters</t>
        </is>
      </c>
      <c r="G36" s="8" t="inlineStr">
        <is>
          <t>GOODWE</t>
        </is>
      </c>
      <c r="H36" s="8" t="inlineStr">
        <is>
          <t>GW8000-ET-20</t>
        </is>
      </c>
    </row>
    <row r="37">
      <c r="A37" s="8" t="inlineStr">
        <is>
          <t>PS-8K|2</t>
        </is>
      </c>
      <c r="B37" s="8" t="inlineStr">
        <is>
          <t>PS-8K</t>
        </is>
      </c>
      <c r="C37" s="8" t="inlineStr">
        <is>
          <t>Base</t>
        </is>
      </c>
      <c r="D37" s="8" t="n">
        <v>16</v>
      </c>
      <c r="E37" s="9" t="inlineStr">
        <is>
          <t>Módulo Fotovoltaico TOPCon Bifacial 585w</t>
        </is>
      </c>
      <c r="F37" s="8" t="inlineStr">
        <is>
          <t>Paneles FV</t>
        </is>
      </c>
      <c r="G37" s="8" t="inlineStr">
        <is>
          <t>TCL SOLAR</t>
        </is>
      </c>
      <c r="H37" s="8" t="inlineStr">
        <is>
          <t>TCL-MI585DH182-72NT</t>
        </is>
      </c>
    </row>
    <row r="38">
      <c r="A38" s="8" t="inlineStr">
        <is>
          <t>PS-8K|3</t>
        </is>
      </c>
      <c r="B38" s="8" t="inlineStr">
        <is>
          <t>PS-8K</t>
        </is>
      </c>
      <c r="C38" s="8" t="inlineStr">
        <is>
          <t>Base</t>
        </is>
      </c>
      <c r="D38" s="8" t="n">
        <v>2</v>
      </c>
      <c r="E38" s="9" t="inlineStr">
        <is>
          <t>SET Cables + Conectores</t>
        </is>
      </c>
      <c r="F38" s="8" t="inlineStr">
        <is>
          <t>Cables</t>
        </is>
      </c>
      <c r="G38" s="8" t="inlineStr">
        <is>
          <t>GENERICO</t>
        </is>
      </c>
      <c r="H38" s="8" t="inlineStr">
        <is>
          <t>CC-20</t>
        </is>
      </c>
    </row>
    <row r="39">
      <c r="A39" s="8" t="inlineStr">
        <is>
          <t>PS-8K|4</t>
        </is>
      </c>
      <c r="B39" s="8" t="inlineStr">
        <is>
          <t>PS-8K</t>
        </is>
      </c>
      <c r="C39" s="8" t="inlineStr">
        <is>
          <t>Base</t>
        </is>
      </c>
      <c r="D39" s="8" t="n">
        <v>1</v>
      </c>
      <c r="E39" s="9" t="inlineStr">
        <is>
          <t>Batería Apilable 5kWh - HV</t>
        </is>
      </c>
      <c r="F39" s="8" t="inlineStr">
        <is>
          <t>Baterías</t>
        </is>
      </c>
      <c r="G39" s="8" t="inlineStr">
        <is>
          <t>GOODWE</t>
        </is>
      </c>
      <c r="H39" s="8" t="inlineStr">
        <is>
          <t>LX D5.0-10</t>
        </is>
      </c>
    </row>
    <row r="40">
      <c r="A40" s="8" t="inlineStr">
        <is>
          <t>PS-8K|5</t>
        </is>
      </c>
      <c r="B40" s="8" t="inlineStr">
        <is>
          <t>PS-8K</t>
        </is>
      </c>
      <c r="C40" s="8" t="inlineStr">
        <is>
          <t>Base</t>
        </is>
      </c>
      <c r="D40" s="8" t="n">
        <v>1</v>
      </c>
      <c r="E40" s="9" t="inlineStr">
        <is>
          <t>Smart Energy Controller Trifásico</t>
        </is>
      </c>
      <c r="F40" s="8" t="inlineStr">
        <is>
          <t>Accesorios</t>
        </is>
      </c>
      <c r="G40" s="8" t="inlineStr">
        <is>
          <t>GOODWE</t>
        </is>
      </c>
      <c r="H40" s="8" t="inlineStr">
        <is>
          <t>GMK330</t>
        </is>
      </c>
    </row>
    <row r="41">
      <c r="A41" s="8" t="inlineStr">
        <is>
          <t>PS-10K|1</t>
        </is>
      </c>
      <c r="B41" s="8" t="inlineStr">
        <is>
          <t>PS-10K</t>
        </is>
      </c>
      <c r="C41" s="8" t="inlineStr">
        <is>
          <t>Base</t>
        </is>
      </c>
      <c r="D41" s="8" t="n">
        <v>1</v>
      </c>
      <c r="E41" s="9" t="inlineStr">
        <is>
          <t>Inversor Trifásico HIBRIDO 10 kW</t>
        </is>
      </c>
      <c r="F41" s="8" t="inlineStr">
        <is>
          <t>Inverters</t>
        </is>
      </c>
      <c r="G41" s="8" t="inlineStr">
        <is>
          <t>GOODWE</t>
        </is>
      </c>
      <c r="H41" s="8" t="inlineStr">
        <is>
          <t>GW10K-ET-20</t>
        </is>
      </c>
    </row>
    <row r="42">
      <c r="A42" s="8" t="inlineStr">
        <is>
          <t>PS-10K|2</t>
        </is>
      </c>
      <c r="B42" s="8" t="inlineStr">
        <is>
          <t>PS-10K</t>
        </is>
      </c>
      <c r="C42" s="8" t="inlineStr">
        <is>
          <t>Base</t>
        </is>
      </c>
      <c r="D42" s="8" t="n">
        <v>18</v>
      </c>
      <c r="E42" s="9" t="inlineStr">
        <is>
          <t>Módulo Fotovoltaico TOPCon Bifacial 585w</t>
        </is>
      </c>
      <c r="F42" s="8" t="inlineStr">
        <is>
          <t>Paneles FV</t>
        </is>
      </c>
      <c r="G42" s="8" t="inlineStr">
        <is>
          <t>TCL SOLAR</t>
        </is>
      </c>
      <c r="H42" s="8" t="inlineStr">
        <is>
          <t>TCL-MI585DH182-72NT</t>
        </is>
      </c>
    </row>
    <row r="43">
      <c r="A43" s="8" t="inlineStr">
        <is>
          <t>PS-10K|3</t>
        </is>
      </c>
      <c r="B43" s="8" t="inlineStr">
        <is>
          <t>PS-10K</t>
        </is>
      </c>
      <c r="C43" s="8" t="inlineStr">
        <is>
          <t>Base</t>
        </is>
      </c>
      <c r="D43" s="8" t="n">
        <v>3</v>
      </c>
      <c r="E43" s="9" t="inlineStr">
        <is>
          <t>SET Cables + Conectores</t>
        </is>
      </c>
      <c r="F43" s="8" t="inlineStr">
        <is>
          <t>Cables</t>
        </is>
      </c>
      <c r="G43" s="8" t="inlineStr">
        <is>
          <t>GENERICO</t>
        </is>
      </c>
      <c r="H43" s="8" t="inlineStr">
        <is>
          <t>CC-20</t>
        </is>
      </c>
    </row>
    <row r="44">
      <c r="A44" s="8" t="inlineStr">
        <is>
          <t>PS-10K|4</t>
        </is>
      </c>
      <c r="B44" s="8" t="inlineStr">
        <is>
          <t>PS-10K</t>
        </is>
      </c>
      <c r="C44" s="8" t="inlineStr">
        <is>
          <t>Base</t>
        </is>
      </c>
      <c r="D44" s="8" t="n">
        <v>1</v>
      </c>
      <c r="E44" s="9" t="inlineStr">
        <is>
          <t>Batería Apilable 5kWh - HV</t>
        </is>
      </c>
      <c r="F44" s="8" t="inlineStr">
        <is>
          <t>Baterías</t>
        </is>
      </c>
      <c r="G44" s="8" t="inlineStr">
        <is>
          <t>GOODWE</t>
        </is>
      </c>
      <c r="H44" s="8" t="inlineStr">
        <is>
          <t>LX D5.0-10</t>
        </is>
      </c>
    </row>
    <row r="45">
      <c r="A45" s="8" t="inlineStr">
        <is>
          <t>PS-10K|5</t>
        </is>
      </c>
      <c r="B45" s="8" t="inlineStr">
        <is>
          <t>PS-10K</t>
        </is>
      </c>
      <c r="C45" s="8" t="inlineStr">
        <is>
          <t>Base</t>
        </is>
      </c>
      <c r="D45" s="8" t="n">
        <v>1</v>
      </c>
      <c r="E45" s="9" t="inlineStr">
        <is>
          <t>Smart Energy Controller Trifásico</t>
        </is>
      </c>
      <c r="F45" s="8" t="inlineStr">
        <is>
          <t>Accesorios</t>
        </is>
      </c>
      <c r="G45" s="8" t="inlineStr">
        <is>
          <t>GOODWE</t>
        </is>
      </c>
      <c r="H45" s="8" t="inlineStr">
        <is>
          <t>GMK330</t>
        </is>
      </c>
    </row>
    <row r="46">
      <c r="A46" s="8" t="inlineStr">
        <is>
          <t>PS-12K|1</t>
        </is>
      </c>
      <c r="B46" s="8" t="inlineStr">
        <is>
          <t>PS-12K</t>
        </is>
      </c>
      <c r="C46" s="8" t="inlineStr">
        <is>
          <t>Base</t>
        </is>
      </c>
      <c r="D46" s="8" t="n">
        <v>1</v>
      </c>
      <c r="E46" s="9" t="inlineStr">
        <is>
          <t>Inversor Trifásico HIBRIDO 12 kW</t>
        </is>
      </c>
      <c r="F46" s="8" t="inlineStr">
        <is>
          <t>Inverters</t>
        </is>
      </c>
      <c r="G46" s="8" t="inlineStr">
        <is>
          <t>GOODWE</t>
        </is>
      </c>
      <c r="H46" s="8" t="inlineStr">
        <is>
          <t>GW12K-ET-20</t>
        </is>
      </c>
    </row>
    <row r="47">
      <c r="A47" s="8" t="inlineStr">
        <is>
          <t>PS-12K|2</t>
        </is>
      </c>
      <c r="B47" s="8" t="inlineStr">
        <is>
          <t>PS-12K</t>
        </is>
      </c>
      <c r="C47" s="8" t="inlineStr">
        <is>
          <t>Base</t>
        </is>
      </c>
      <c r="D47" s="8" t="n">
        <v>24</v>
      </c>
      <c r="E47" s="9" t="inlineStr">
        <is>
          <t>Módulo Fotovoltaico TOPCon Bifacial 585w</t>
        </is>
      </c>
      <c r="F47" s="8" t="inlineStr">
        <is>
          <t>Paneles FV</t>
        </is>
      </c>
      <c r="G47" s="8" t="inlineStr">
        <is>
          <t>TCL SOLAR</t>
        </is>
      </c>
      <c r="H47" s="8" t="inlineStr">
        <is>
          <t>TCL-MI585DH182-72NT</t>
        </is>
      </c>
    </row>
    <row r="48">
      <c r="A48" s="8" t="inlineStr">
        <is>
          <t>PS-12K|3</t>
        </is>
      </c>
      <c r="B48" s="8" t="inlineStr">
        <is>
          <t>PS-12K</t>
        </is>
      </c>
      <c r="C48" s="8" t="inlineStr">
        <is>
          <t>Base</t>
        </is>
      </c>
      <c r="D48" s="8" t="n">
        <v>3</v>
      </c>
      <c r="E48" s="9" t="inlineStr">
        <is>
          <t>SET Cables + Conectores</t>
        </is>
      </c>
      <c r="F48" s="8" t="inlineStr">
        <is>
          <t>Cables</t>
        </is>
      </c>
      <c r="G48" s="8" t="inlineStr">
        <is>
          <t>GENERICO</t>
        </is>
      </c>
      <c r="H48" s="8" t="inlineStr">
        <is>
          <t>CC-20</t>
        </is>
      </c>
    </row>
    <row r="49">
      <c r="A49" s="8" t="inlineStr">
        <is>
          <t>PS-12K|4</t>
        </is>
      </c>
      <c r="B49" s="8" t="inlineStr">
        <is>
          <t>PS-12K</t>
        </is>
      </c>
      <c r="C49" s="8" t="inlineStr">
        <is>
          <t>Base</t>
        </is>
      </c>
      <c r="D49" s="8" t="n">
        <v>2</v>
      </c>
      <c r="E49" s="9" t="inlineStr">
        <is>
          <t>Batería Apilable 5kWh - HV</t>
        </is>
      </c>
      <c r="F49" s="8" t="inlineStr">
        <is>
          <t>Baterías</t>
        </is>
      </c>
      <c r="G49" s="8" t="inlineStr">
        <is>
          <t>GOODWE</t>
        </is>
      </c>
      <c r="H49" s="8" t="inlineStr">
        <is>
          <t>LX D5.0-10</t>
        </is>
      </c>
    </row>
    <row r="50">
      <c r="A50" s="8" t="inlineStr">
        <is>
          <t>PS-12K|5</t>
        </is>
      </c>
      <c r="B50" s="8" t="inlineStr">
        <is>
          <t>PS-12K</t>
        </is>
      </c>
      <c r="C50" s="8" t="inlineStr">
        <is>
          <t>Base</t>
        </is>
      </c>
      <c r="D50" s="8" t="n">
        <v>1</v>
      </c>
      <c r="E50" s="9" t="inlineStr">
        <is>
          <t>Smart Energy Controller Trifásico</t>
        </is>
      </c>
      <c r="F50" s="8" t="inlineStr">
        <is>
          <t>Accesorios</t>
        </is>
      </c>
      <c r="G50" s="8" t="inlineStr">
        <is>
          <t>GOODWE</t>
        </is>
      </c>
      <c r="H50" s="8" t="inlineStr">
        <is>
          <t>GMK330</t>
        </is>
      </c>
    </row>
    <row r="51">
      <c r="A51" s="8" t="inlineStr">
        <is>
          <t>PS-15K|1</t>
        </is>
      </c>
      <c r="B51" s="8" t="inlineStr">
        <is>
          <t>PS-15K</t>
        </is>
      </c>
      <c r="C51" s="8" t="inlineStr">
        <is>
          <t>Base</t>
        </is>
      </c>
      <c r="D51" s="8" t="n">
        <v>1</v>
      </c>
      <c r="E51" s="9" t="inlineStr">
        <is>
          <t>Inversor Trifásico HIBRIDO 15 kW</t>
        </is>
      </c>
      <c r="F51" s="8" t="inlineStr">
        <is>
          <t>Inverters</t>
        </is>
      </c>
      <c r="G51" s="8" t="inlineStr">
        <is>
          <t>GOODWE</t>
        </is>
      </c>
      <c r="H51" s="8" t="inlineStr">
        <is>
          <t>GW15K-ET-20</t>
        </is>
      </c>
    </row>
    <row r="52">
      <c r="A52" s="8" t="inlineStr">
        <is>
          <t>PS-15K|2</t>
        </is>
      </c>
      <c r="B52" s="8" t="inlineStr">
        <is>
          <t>PS-15K</t>
        </is>
      </c>
      <c r="C52" s="8" t="inlineStr">
        <is>
          <t>Base</t>
        </is>
      </c>
      <c r="D52" s="8" t="n">
        <v>32</v>
      </c>
      <c r="E52" s="9" t="inlineStr">
        <is>
          <t>Módulo Fotovoltaico TOPCon Bifacial 585w</t>
        </is>
      </c>
      <c r="F52" s="8" t="inlineStr">
        <is>
          <t>Paneles FV</t>
        </is>
      </c>
      <c r="G52" s="8" t="inlineStr">
        <is>
          <t>TCL SOLAR</t>
        </is>
      </c>
      <c r="H52" s="8" t="inlineStr">
        <is>
          <t>TCL-MI585DH182-72NT</t>
        </is>
      </c>
    </row>
    <row r="53">
      <c r="A53" s="8" t="inlineStr">
        <is>
          <t>PS-15K|3</t>
        </is>
      </c>
      <c r="B53" s="8" t="inlineStr">
        <is>
          <t>PS-15K</t>
        </is>
      </c>
      <c r="C53" s="8" t="inlineStr">
        <is>
          <t>Base</t>
        </is>
      </c>
      <c r="D53" s="8" t="n">
        <v>4</v>
      </c>
      <c r="E53" s="9" t="inlineStr">
        <is>
          <t>SET Cables + Conectores</t>
        </is>
      </c>
      <c r="F53" s="8" t="inlineStr">
        <is>
          <t>Cables</t>
        </is>
      </c>
      <c r="G53" s="8" t="inlineStr">
        <is>
          <t>GENERICO</t>
        </is>
      </c>
      <c r="H53" s="8" t="inlineStr">
        <is>
          <t>CC-20</t>
        </is>
      </c>
    </row>
    <row r="54">
      <c r="A54" s="8" t="inlineStr">
        <is>
          <t>PS-15K|4</t>
        </is>
      </c>
      <c r="B54" s="8" t="inlineStr">
        <is>
          <t>PS-15K</t>
        </is>
      </c>
      <c r="C54" s="8" t="inlineStr">
        <is>
          <t>Base</t>
        </is>
      </c>
      <c r="D54" s="8" t="n">
        <v>2</v>
      </c>
      <c r="E54" s="9" t="inlineStr">
        <is>
          <t>Batería Apilable 5kWh - HV</t>
        </is>
      </c>
      <c r="F54" s="8" t="inlineStr">
        <is>
          <t>Baterías</t>
        </is>
      </c>
      <c r="G54" s="8" t="inlineStr">
        <is>
          <t>GOODWE</t>
        </is>
      </c>
      <c r="H54" s="8" t="inlineStr">
        <is>
          <t>LX D5.0-10</t>
        </is>
      </c>
    </row>
    <row r="55">
      <c r="A55" s="8" t="inlineStr">
        <is>
          <t>PS-15K|5</t>
        </is>
      </c>
      <c r="B55" s="8" t="inlineStr">
        <is>
          <t>PS-15K</t>
        </is>
      </c>
      <c r="C55" s="8" t="inlineStr">
        <is>
          <t>Base</t>
        </is>
      </c>
      <c r="D55" s="8" t="n">
        <v>1</v>
      </c>
      <c r="E55" s="9" t="inlineStr">
        <is>
          <t>Smart Energy Controller Trifásico</t>
        </is>
      </c>
      <c r="F55" s="8" t="inlineStr">
        <is>
          <t>Accesorios</t>
        </is>
      </c>
      <c r="G55" s="8" t="inlineStr">
        <is>
          <t>GOODWE</t>
        </is>
      </c>
      <c r="H55" s="8" t="inlineStr">
        <is>
          <t>GMK330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0" customWidth="1" min="4" max="4"/>
    <col width="8" customWidth="1" min="5" max="5"/>
    <col width="48" customWidth="1" min="6" max="6"/>
    <col width="14" customWidth="1" min="7" max="7"/>
    <col width="14" customWidth="1" min="8" max="8"/>
  </cols>
  <sheetData>
    <row r="1">
      <c r="A1" s="12" t="inlineStr">
        <is>
          <t>Key</t>
        </is>
      </c>
      <c r="B1" s="12" t="inlineStr">
        <is>
          <t>Código Kit</t>
        </is>
      </c>
      <c r="C1" s="12" t="inlineStr">
        <is>
          <t>Tipo Estructura</t>
        </is>
      </c>
      <c r="D1" s="12" t="inlineStr">
        <is>
          <t>Marca</t>
        </is>
      </c>
      <c r="E1" s="12" t="inlineStr">
        <is>
          <t>Qty</t>
        </is>
      </c>
      <c r="F1" s="12" t="inlineStr">
        <is>
          <t>Item</t>
        </is>
      </c>
      <c r="G1" s="12" t="inlineStr">
        <is>
          <t>Categoría</t>
        </is>
      </c>
      <c r="H1" s="12" t="inlineStr">
        <is>
          <t>Código Set</t>
        </is>
      </c>
    </row>
    <row r="2">
      <c r="A2" s="8" t="inlineStr">
        <is>
          <t>EC-3K|Chapa|SOLARMET</t>
        </is>
      </c>
      <c r="B2" s="8" t="inlineStr">
        <is>
          <t>EC-3K</t>
        </is>
      </c>
      <c r="C2" s="8" t="inlineStr">
        <is>
          <t>Chapa</t>
        </is>
      </c>
      <c r="D2" s="8" t="inlineStr">
        <is>
          <t>SOLARMET</t>
        </is>
      </c>
      <c r="E2" s="8" t="n">
        <v>1</v>
      </c>
      <c r="F2" s="9" t="inlineStr">
        <is>
          <t>Set Estructuras Techo Coplanar Chapa SOLARMET (x6)</t>
        </is>
      </c>
      <c r="G2" s="8" t="inlineStr">
        <is>
          <t>Estructuras</t>
        </is>
      </c>
      <c r="H2" s="8" t="inlineStr">
        <is>
          <t>C-6U</t>
        </is>
      </c>
    </row>
    <row r="3">
      <c r="A3" s="8" t="inlineStr">
        <is>
          <t>EC-3K|Chapa|MIBET</t>
        </is>
      </c>
      <c r="B3" s="8" t="inlineStr">
        <is>
          <t>EC-3K</t>
        </is>
      </c>
      <c r="C3" s="8" t="inlineStr">
        <is>
          <t>Chapa</t>
        </is>
      </c>
      <c r="D3" s="8" t="inlineStr">
        <is>
          <t>MIBET</t>
        </is>
      </c>
      <c r="E3" s="8" t="n">
        <v>1</v>
      </c>
      <c r="F3" s="9" t="inlineStr">
        <is>
          <t>Set Estructura Coplanar Chapa MIBET (x6)</t>
        </is>
      </c>
      <c r="G3" s="8" t="inlineStr">
        <is>
          <t>Estructuras</t>
        </is>
      </c>
      <c r="H3" s="8" t="inlineStr">
        <is>
          <t>S6-CH</t>
        </is>
      </c>
    </row>
    <row r="4">
      <c r="A4" s="8" t="inlineStr">
        <is>
          <t>EC-3K|Teja|SOLARMET</t>
        </is>
      </c>
      <c r="B4" s="8" t="inlineStr">
        <is>
          <t>EC-3K</t>
        </is>
      </c>
      <c r="C4" s="8" t="inlineStr">
        <is>
          <t>Teja</t>
        </is>
      </c>
      <c r="D4" s="8" t="inlineStr">
        <is>
          <t>SOLARMET</t>
        </is>
      </c>
      <c r="E4" s="8" t="n">
        <v>1</v>
      </c>
      <c r="F4" s="9" t="inlineStr">
        <is>
          <t>Set Estructuras Techo Coplanar Teja SOLARMET (x6)</t>
        </is>
      </c>
      <c r="G4" s="8" t="inlineStr">
        <is>
          <t>Estructuras</t>
        </is>
      </c>
      <c r="H4" s="8" t="inlineStr">
        <is>
          <t>T-6U</t>
        </is>
      </c>
    </row>
    <row r="5">
      <c r="A5" s="8" t="inlineStr">
        <is>
          <t>EC-3K|Teja|MIBET</t>
        </is>
      </c>
      <c r="B5" s="8" t="inlineStr">
        <is>
          <t>EC-3K</t>
        </is>
      </c>
      <c r="C5" s="8" t="inlineStr">
        <is>
          <t>Teja</t>
        </is>
      </c>
      <c r="D5" s="8" t="inlineStr">
        <is>
          <t>MIBET</t>
        </is>
      </c>
      <c r="E5" s="8" t="n">
        <v>1</v>
      </c>
      <c r="F5" s="9" t="inlineStr">
        <is>
          <t>Set Estructura Coplanar Teja MIBET (x6)</t>
        </is>
      </c>
      <c r="G5" s="8" t="inlineStr">
        <is>
          <t>Estructuras</t>
        </is>
      </c>
      <c r="H5" s="8" t="inlineStr">
        <is>
          <t>S6-TJ</t>
        </is>
      </c>
    </row>
    <row r="6">
      <c r="A6" s="8" t="inlineStr">
        <is>
          <t>EC-3K|Suelo/Losa|SOLARMET</t>
        </is>
      </c>
      <c r="B6" s="8" t="inlineStr">
        <is>
          <t>EC-3K</t>
        </is>
      </c>
      <c r="C6" s="8" t="inlineStr">
        <is>
          <t>Suelo/Losa</t>
        </is>
      </c>
      <c r="D6" s="8" t="inlineStr">
        <is>
          <t>SOLARMET</t>
        </is>
      </c>
      <c r="E6" s="8" t="n">
        <v>1</v>
      </c>
      <c r="F6" s="9" t="inlineStr">
        <is>
          <t>Set Estructuras Suelo / Losa SOLARMET (x6)</t>
        </is>
      </c>
      <c r="G6" s="8" t="inlineStr">
        <is>
          <t>Estructuras</t>
        </is>
      </c>
      <c r="H6" s="8" t="inlineStr">
        <is>
          <t>SL-6U</t>
        </is>
      </c>
    </row>
    <row r="7">
      <c r="A7" s="8" t="inlineStr">
        <is>
          <t>EC-3K|Suelo/Losa|MIBET</t>
        </is>
      </c>
      <c r="B7" s="8" t="inlineStr">
        <is>
          <t>EC-3K</t>
        </is>
      </c>
      <c r="C7" s="8" t="inlineStr">
        <is>
          <t>Suelo/Losa</t>
        </is>
      </c>
      <c r="D7" s="8" t="inlineStr">
        <is>
          <t>MIBET</t>
        </is>
      </c>
      <c r="E7" s="8" t="n">
        <v>1</v>
      </c>
      <c r="F7" s="9" t="inlineStr">
        <is>
          <t>Kit Estructura Suelo MIBET GMS-3x720 (6 paneles c/u — viene armado)</t>
        </is>
      </c>
      <c r="G7" s="8" t="inlineStr">
        <is>
          <t>Estructuras</t>
        </is>
      </c>
      <c r="H7" s="8" t="inlineStr">
        <is>
          <t>GMS-3x720</t>
        </is>
      </c>
    </row>
    <row r="8">
      <c r="A8" s="8" t="inlineStr">
        <is>
          <t>EC-5K|Chapa|SOLARMET</t>
        </is>
      </c>
      <c r="B8" s="8" t="inlineStr">
        <is>
          <t>EC-5K</t>
        </is>
      </c>
      <c r="C8" s="8" t="inlineStr">
        <is>
          <t>Chapa</t>
        </is>
      </c>
      <c r="D8" s="8" t="inlineStr">
        <is>
          <t>SOLARMET</t>
        </is>
      </c>
      <c r="E8" s="8" t="n">
        <v>2</v>
      </c>
      <c r="F8" s="9" t="inlineStr">
        <is>
          <t>Set Estructuras Techo Coplanar Chapa SOLARMET (x5)</t>
        </is>
      </c>
      <c r="G8" s="8" t="inlineStr">
        <is>
          <t>Estructuras</t>
        </is>
      </c>
      <c r="H8" s="8" t="inlineStr">
        <is>
          <t>C-5U</t>
        </is>
      </c>
    </row>
    <row r="9">
      <c r="A9" s="8" t="inlineStr">
        <is>
          <t>EC-5K|Chapa|MIBET</t>
        </is>
      </c>
      <c r="B9" s="8" t="inlineStr">
        <is>
          <t>EC-5K</t>
        </is>
      </c>
      <c r="C9" s="8" t="inlineStr">
        <is>
          <t>Chapa</t>
        </is>
      </c>
      <c r="D9" s="8" t="inlineStr">
        <is>
          <t>MIBET</t>
        </is>
      </c>
      <c r="E9" s="8" t="n">
        <v>2</v>
      </c>
      <c r="F9" s="9" t="inlineStr">
        <is>
          <t>Set Estructura Coplanar Chapa MIBET (x5)</t>
        </is>
      </c>
      <c r="G9" s="8" t="inlineStr">
        <is>
          <t>Estructuras</t>
        </is>
      </c>
      <c r="H9" s="8" t="inlineStr">
        <is>
          <t>S5-CH</t>
        </is>
      </c>
    </row>
    <row r="10">
      <c r="A10" s="8" t="inlineStr">
        <is>
          <t>EC-5K|Teja|SOLARMET</t>
        </is>
      </c>
      <c r="B10" s="8" t="inlineStr">
        <is>
          <t>EC-5K</t>
        </is>
      </c>
      <c r="C10" s="8" t="inlineStr">
        <is>
          <t>Teja</t>
        </is>
      </c>
      <c r="D10" s="8" t="inlineStr">
        <is>
          <t>SOLARMET</t>
        </is>
      </c>
      <c r="E10" s="8" t="n">
        <v>2</v>
      </c>
      <c r="F10" s="9" t="inlineStr">
        <is>
          <t>Set Estructuras Techo Coplanar Teja SOLARMET (x5)</t>
        </is>
      </c>
      <c r="G10" s="8" t="inlineStr">
        <is>
          <t>Estructuras</t>
        </is>
      </c>
      <c r="H10" s="8" t="inlineStr">
        <is>
          <t>T-5U</t>
        </is>
      </c>
    </row>
    <row r="11">
      <c r="A11" s="8" t="inlineStr">
        <is>
          <t>EC-5K|Teja|MIBET</t>
        </is>
      </c>
      <c r="B11" s="8" t="inlineStr">
        <is>
          <t>EC-5K</t>
        </is>
      </c>
      <c r="C11" s="8" t="inlineStr">
        <is>
          <t>Teja</t>
        </is>
      </c>
      <c r="D11" s="8" t="inlineStr">
        <is>
          <t>MIBET</t>
        </is>
      </c>
      <c r="E11" s="8" t="n">
        <v>2</v>
      </c>
      <c r="F11" s="9" t="inlineStr">
        <is>
          <t>Set Estructura Coplanar Teja MIBET (x5)</t>
        </is>
      </c>
      <c r="G11" s="8" t="inlineStr">
        <is>
          <t>Estructuras</t>
        </is>
      </c>
      <c r="H11" s="8" t="inlineStr">
        <is>
          <t>S5-TJ</t>
        </is>
      </c>
    </row>
    <row r="12">
      <c r="A12" s="8" t="inlineStr">
        <is>
          <t>EC-5K|Suelo/Losa|SOLARMET</t>
        </is>
      </c>
      <c r="B12" s="8" t="inlineStr">
        <is>
          <t>EC-5K</t>
        </is>
      </c>
      <c r="C12" s="8" t="inlineStr">
        <is>
          <t>Suelo/Losa</t>
        </is>
      </c>
      <c r="D12" s="8" t="inlineStr">
        <is>
          <t>SOLARMET</t>
        </is>
      </c>
      <c r="E12" s="8" t="n">
        <v>2</v>
      </c>
      <c r="F12" s="9" t="inlineStr">
        <is>
          <t>Set Estructuras Suelo / Losa SOLARMET (x5)</t>
        </is>
      </c>
      <c r="G12" s="8" t="inlineStr">
        <is>
          <t>Estructuras</t>
        </is>
      </c>
      <c r="H12" s="8" t="inlineStr">
        <is>
          <t>SL-5U</t>
        </is>
      </c>
    </row>
    <row r="13">
      <c r="A13" s="8" t="inlineStr">
        <is>
          <t>EC-5K|Suelo/Losa|MIBET</t>
        </is>
      </c>
      <c r="B13" s="8" t="inlineStr">
        <is>
          <t>EC-5K</t>
        </is>
      </c>
      <c r="C13" s="8" t="inlineStr">
        <is>
          <t>Suelo/Losa</t>
        </is>
      </c>
      <c r="D13" s="8" t="inlineStr">
        <is>
          <t>MIBET</t>
        </is>
      </c>
      <c r="E13" s="8" t="n">
        <v>2</v>
      </c>
      <c r="F13" s="9" t="inlineStr">
        <is>
          <t>Kit Estructura Suelo MIBET GMS-3x720 (6 paneles c/u — viene armado)</t>
        </is>
      </c>
      <c r="G13" s="8" t="inlineStr">
        <is>
          <t>Estructuras</t>
        </is>
      </c>
      <c r="H13" s="8" t="inlineStr">
        <is>
          <t>GMS-3x720</t>
        </is>
      </c>
    </row>
    <row r="14">
      <c r="A14" s="8" t="inlineStr">
        <is>
          <t>EC-6K|Chapa|SOLARMET</t>
        </is>
      </c>
      <c r="B14" s="8" t="inlineStr">
        <is>
          <t>EC-6K</t>
        </is>
      </c>
      <c r="C14" s="8" t="inlineStr">
        <is>
          <t>Chapa</t>
        </is>
      </c>
      <c r="D14" s="8" t="inlineStr">
        <is>
          <t>SOLARMET</t>
        </is>
      </c>
      <c r="E14" s="8" t="n">
        <v>2</v>
      </c>
      <c r="F14" s="9" t="inlineStr">
        <is>
          <t>Set Estructuras Techo Coplanar Chapa SOLARMET (x6)</t>
        </is>
      </c>
      <c r="G14" s="8" t="inlineStr">
        <is>
          <t>Estructuras</t>
        </is>
      </c>
      <c r="H14" s="8" t="inlineStr">
        <is>
          <t>C-6U</t>
        </is>
      </c>
    </row>
    <row r="15">
      <c r="A15" s="8" t="inlineStr">
        <is>
          <t>EC-6K|Chapa|MIBET</t>
        </is>
      </c>
      <c r="B15" s="8" t="inlineStr">
        <is>
          <t>EC-6K</t>
        </is>
      </c>
      <c r="C15" s="8" t="inlineStr">
        <is>
          <t>Chapa</t>
        </is>
      </c>
      <c r="D15" s="8" t="inlineStr">
        <is>
          <t>MIBET</t>
        </is>
      </c>
      <c r="E15" s="8" t="n">
        <v>2</v>
      </c>
      <c r="F15" s="9" t="inlineStr">
        <is>
          <t>Set Estructura Coplanar Chapa MIBET (x6)</t>
        </is>
      </c>
      <c r="G15" s="8" t="inlineStr">
        <is>
          <t>Estructuras</t>
        </is>
      </c>
      <c r="H15" s="8" t="inlineStr">
        <is>
          <t>S6-CH</t>
        </is>
      </c>
    </row>
    <row r="16">
      <c r="A16" s="8" t="inlineStr">
        <is>
          <t>EC-6K|Teja|SOLARMET</t>
        </is>
      </c>
      <c r="B16" s="8" t="inlineStr">
        <is>
          <t>EC-6K</t>
        </is>
      </c>
      <c r="C16" s="8" t="inlineStr">
        <is>
          <t>Teja</t>
        </is>
      </c>
      <c r="D16" s="8" t="inlineStr">
        <is>
          <t>SOLARMET</t>
        </is>
      </c>
      <c r="E16" s="8" t="n">
        <v>2</v>
      </c>
      <c r="F16" s="9" t="inlineStr">
        <is>
          <t>Set Estructuras Techo Coplanar Teja SOLARMET (x6)</t>
        </is>
      </c>
      <c r="G16" s="8" t="inlineStr">
        <is>
          <t>Estructuras</t>
        </is>
      </c>
      <c r="H16" s="8" t="inlineStr">
        <is>
          <t>T-6U</t>
        </is>
      </c>
    </row>
    <row r="17">
      <c r="A17" s="8" t="inlineStr">
        <is>
          <t>EC-6K|Teja|MIBET</t>
        </is>
      </c>
      <c r="B17" s="8" t="inlineStr">
        <is>
          <t>EC-6K</t>
        </is>
      </c>
      <c r="C17" s="8" t="inlineStr">
        <is>
          <t>Teja</t>
        </is>
      </c>
      <c r="D17" s="8" t="inlineStr">
        <is>
          <t>MIBET</t>
        </is>
      </c>
      <c r="E17" s="8" t="n">
        <v>2</v>
      </c>
      <c r="F17" s="9" t="inlineStr">
        <is>
          <t>Set Estructura Coplanar Teja MIBET (x6)</t>
        </is>
      </c>
      <c r="G17" s="8" t="inlineStr">
        <is>
          <t>Estructuras</t>
        </is>
      </c>
      <c r="H17" s="8" t="inlineStr">
        <is>
          <t>S6-TJ</t>
        </is>
      </c>
    </row>
    <row r="18">
      <c r="A18" s="8" t="inlineStr">
        <is>
          <t>EC-6K|Suelo/Losa|SOLARMET</t>
        </is>
      </c>
      <c r="B18" s="8" t="inlineStr">
        <is>
          <t>EC-6K</t>
        </is>
      </c>
      <c r="C18" s="8" t="inlineStr">
        <is>
          <t>Suelo/Losa</t>
        </is>
      </c>
      <c r="D18" s="8" t="inlineStr">
        <is>
          <t>SOLARMET</t>
        </is>
      </c>
      <c r="E18" s="8" t="n">
        <v>2</v>
      </c>
      <c r="F18" s="9" t="inlineStr">
        <is>
          <t>Set Estructuras Suelo / Losa SOLARMET (x6)</t>
        </is>
      </c>
      <c r="G18" s="8" t="inlineStr">
        <is>
          <t>Estructuras</t>
        </is>
      </c>
      <c r="H18" s="8" t="inlineStr">
        <is>
          <t>SL-6U</t>
        </is>
      </c>
    </row>
    <row r="19">
      <c r="A19" s="8" t="inlineStr">
        <is>
          <t>EC-6K|Suelo/Losa|MIBET</t>
        </is>
      </c>
      <c r="B19" s="8" t="inlineStr">
        <is>
          <t>EC-6K</t>
        </is>
      </c>
      <c r="C19" s="8" t="inlineStr">
        <is>
          <t>Suelo/Losa</t>
        </is>
      </c>
      <c r="D19" s="8" t="inlineStr">
        <is>
          <t>MIBET</t>
        </is>
      </c>
      <c r="E19" s="8" t="n">
        <v>2</v>
      </c>
      <c r="F19" s="9" t="inlineStr">
        <is>
          <t>Kit Estructura Suelo MIBET GMS-3x720 (6 paneles c/u — viene armado)</t>
        </is>
      </c>
      <c r="G19" s="8" t="inlineStr">
        <is>
          <t>Estructuras</t>
        </is>
      </c>
      <c r="H19" s="8" t="inlineStr">
        <is>
          <t>GMS-3x720</t>
        </is>
      </c>
    </row>
    <row r="20">
      <c r="A20" s="8" t="inlineStr">
        <is>
          <t>AC/R-3K|Chapa|SOLARMET</t>
        </is>
      </c>
      <c r="B20" s="8" t="inlineStr">
        <is>
          <t>AC/R-3K</t>
        </is>
      </c>
      <c r="C20" s="8" t="inlineStr">
        <is>
          <t>Chapa</t>
        </is>
      </c>
      <c r="D20" s="8" t="inlineStr">
        <is>
          <t>SOLARMET</t>
        </is>
      </c>
      <c r="E20" s="8" t="n">
        <v>1</v>
      </c>
      <c r="F20" s="9" t="inlineStr">
        <is>
          <t>Set Estructuras Techo Coplanar Chapa SOLARMET (x6)</t>
        </is>
      </c>
      <c r="G20" s="8" t="inlineStr">
        <is>
          <t>Estructuras</t>
        </is>
      </c>
      <c r="H20" s="8" t="inlineStr">
        <is>
          <t>C-6U</t>
        </is>
      </c>
    </row>
    <row r="21">
      <c r="A21" s="8" t="inlineStr">
        <is>
          <t>AC/R-3K|Chapa|MIBET</t>
        </is>
      </c>
      <c r="B21" s="8" t="inlineStr">
        <is>
          <t>AC/R-3K</t>
        </is>
      </c>
      <c r="C21" s="8" t="inlineStr">
        <is>
          <t>Chapa</t>
        </is>
      </c>
      <c r="D21" s="8" t="inlineStr">
        <is>
          <t>MIBET</t>
        </is>
      </c>
      <c r="E21" s="8" t="n">
        <v>1</v>
      </c>
      <c r="F21" s="9" t="inlineStr">
        <is>
          <t>Set Estructura Coplanar Chapa MIBET (x6)</t>
        </is>
      </c>
      <c r="G21" s="8" t="inlineStr">
        <is>
          <t>Estructuras</t>
        </is>
      </c>
      <c r="H21" s="8" t="inlineStr">
        <is>
          <t>S6-CH</t>
        </is>
      </c>
    </row>
    <row r="22">
      <c r="A22" s="8" t="inlineStr">
        <is>
          <t>AC/R-3K|Teja|SOLARMET</t>
        </is>
      </c>
      <c r="B22" s="8" t="inlineStr">
        <is>
          <t>AC/R-3K</t>
        </is>
      </c>
      <c r="C22" s="8" t="inlineStr">
        <is>
          <t>Teja</t>
        </is>
      </c>
      <c r="D22" s="8" t="inlineStr">
        <is>
          <t>SOLARMET</t>
        </is>
      </c>
      <c r="E22" s="8" t="n">
        <v>1</v>
      </c>
      <c r="F22" s="9" t="inlineStr">
        <is>
          <t>Set Estructuras Techo Coplanar Teja SOLARMET (x6)</t>
        </is>
      </c>
      <c r="G22" s="8" t="inlineStr">
        <is>
          <t>Estructuras</t>
        </is>
      </c>
      <c r="H22" s="8" t="inlineStr">
        <is>
          <t>T-6U</t>
        </is>
      </c>
    </row>
    <row r="23">
      <c r="A23" s="8" t="inlineStr">
        <is>
          <t>AC/R-3K|Teja|MIBET</t>
        </is>
      </c>
      <c r="B23" s="8" t="inlineStr">
        <is>
          <t>AC/R-3K</t>
        </is>
      </c>
      <c r="C23" s="8" t="inlineStr">
        <is>
          <t>Teja</t>
        </is>
      </c>
      <c r="D23" s="8" t="inlineStr">
        <is>
          <t>MIBET</t>
        </is>
      </c>
      <c r="E23" s="8" t="n">
        <v>1</v>
      </c>
      <c r="F23" s="9" t="inlineStr">
        <is>
          <t>Set Estructura Coplanar Teja MIBET (x6)</t>
        </is>
      </c>
      <c r="G23" s="8" t="inlineStr">
        <is>
          <t>Estructuras</t>
        </is>
      </c>
      <c r="H23" s="8" t="inlineStr">
        <is>
          <t>S6-TJ</t>
        </is>
      </c>
    </row>
    <row r="24">
      <c r="A24" s="8" t="inlineStr">
        <is>
          <t>AC/R-3K|Suelo/Losa|SOLARMET</t>
        </is>
      </c>
      <c r="B24" s="8" t="inlineStr">
        <is>
          <t>AC/R-3K</t>
        </is>
      </c>
      <c r="C24" s="8" t="inlineStr">
        <is>
          <t>Suelo/Losa</t>
        </is>
      </c>
      <c r="D24" s="8" t="inlineStr">
        <is>
          <t>SOLARMET</t>
        </is>
      </c>
      <c r="E24" s="8" t="n">
        <v>1</v>
      </c>
      <c r="F24" s="9" t="inlineStr">
        <is>
          <t>Set Estructuras Suelo / Losa SOLARMET (x6)</t>
        </is>
      </c>
      <c r="G24" s="8" t="inlineStr">
        <is>
          <t>Estructuras</t>
        </is>
      </c>
      <c r="H24" s="8" t="inlineStr">
        <is>
          <t>SL-6U</t>
        </is>
      </c>
    </row>
    <row r="25">
      <c r="A25" s="8" t="inlineStr">
        <is>
          <t>AC/R-3K|Suelo/Losa|MIBET</t>
        </is>
      </c>
      <c r="B25" s="8" t="inlineStr">
        <is>
          <t>AC/R-3K</t>
        </is>
      </c>
      <c r="C25" s="8" t="inlineStr">
        <is>
          <t>Suelo/Losa</t>
        </is>
      </c>
      <c r="D25" s="8" t="inlineStr">
        <is>
          <t>MIBET</t>
        </is>
      </c>
      <c r="E25" s="8" t="n">
        <v>1</v>
      </c>
      <c r="F25" s="9" t="inlineStr">
        <is>
          <t>Kit Estructura Suelo MIBET GMS-3x720 (6 paneles c/u — viene armado)</t>
        </is>
      </c>
      <c r="G25" s="8" t="inlineStr">
        <is>
          <t>Estructuras</t>
        </is>
      </c>
      <c r="H25" s="8" t="inlineStr">
        <is>
          <t>GMS-3x720</t>
        </is>
      </c>
    </row>
    <row r="26">
      <c r="A26" s="8" t="inlineStr">
        <is>
          <t>AC/R-5K|Chapa|SOLARMET</t>
        </is>
      </c>
      <c r="B26" s="8" t="inlineStr">
        <is>
          <t>AC/R-5K</t>
        </is>
      </c>
      <c r="C26" s="8" t="inlineStr">
        <is>
          <t>Chapa</t>
        </is>
      </c>
      <c r="D26" s="8" t="inlineStr">
        <is>
          <t>SOLARMET</t>
        </is>
      </c>
      <c r="E26" s="8" t="n">
        <v>2</v>
      </c>
      <c r="F26" s="9" t="inlineStr">
        <is>
          <t>Set Estructuras Techo Coplanar Chapa SOLARMET (x6)</t>
        </is>
      </c>
      <c r="G26" s="8" t="inlineStr">
        <is>
          <t>Estructuras</t>
        </is>
      </c>
      <c r="H26" s="8" t="inlineStr">
        <is>
          <t>C-6U</t>
        </is>
      </c>
    </row>
    <row r="27">
      <c r="A27" s="8" t="inlineStr">
        <is>
          <t>AC/R-5K|Chapa|MIBET</t>
        </is>
      </c>
      <c r="B27" s="8" t="inlineStr">
        <is>
          <t>AC/R-5K</t>
        </is>
      </c>
      <c r="C27" s="8" t="inlineStr">
        <is>
          <t>Chapa</t>
        </is>
      </c>
      <c r="D27" s="8" t="inlineStr">
        <is>
          <t>MIBET</t>
        </is>
      </c>
      <c r="E27" s="8" t="n">
        <v>2</v>
      </c>
      <c r="F27" s="9" t="inlineStr">
        <is>
          <t>Set Estructura Coplanar Chapa MIBET (x6)</t>
        </is>
      </c>
      <c r="G27" s="8" t="inlineStr">
        <is>
          <t>Estructuras</t>
        </is>
      </c>
      <c r="H27" s="8" t="inlineStr">
        <is>
          <t>S6-CH</t>
        </is>
      </c>
    </row>
    <row r="28">
      <c r="A28" s="8" t="inlineStr">
        <is>
          <t>AC/R-5K|Teja|SOLARMET</t>
        </is>
      </c>
      <c r="B28" s="8" t="inlineStr">
        <is>
          <t>AC/R-5K</t>
        </is>
      </c>
      <c r="C28" s="8" t="inlineStr">
        <is>
          <t>Teja</t>
        </is>
      </c>
      <c r="D28" s="8" t="inlineStr">
        <is>
          <t>SOLARMET</t>
        </is>
      </c>
      <c r="E28" s="8" t="n">
        <v>2</v>
      </c>
      <c r="F28" s="9" t="inlineStr">
        <is>
          <t>Set Estructuras Techo Coplanar Teja SOLARMET (x6)</t>
        </is>
      </c>
      <c r="G28" s="8" t="inlineStr">
        <is>
          <t>Estructuras</t>
        </is>
      </c>
      <c r="H28" s="8" t="inlineStr">
        <is>
          <t>T-6U</t>
        </is>
      </c>
    </row>
    <row r="29">
      <c r="A29" s="8" t="inlineStr">
        <is>
          <t>AC/R-5K|Teja|MIBET</t>
        </is>
      </c>
      <c r="B29" s="8" t="inlineStr">
        <is>
          <t>AC/R-5K</t>
        </is>
      </c>
      <c r="C29" s="8" t="inlineStr">
        <is>
          <t>Teja</t>
        </is>
      </c>
      <c r="D29" s="8" t="inlineStr">
        <is>
          <t>MIBET</t>
        </is>
      </c>
      <c r="E29" s="8" t="n">
        <v>2</v>
      </c>
      <c r="F29" s="9" t="inlineStr">
        <is>
          <t>Set Estructura Coplanar Teja MIBET (x6)</t>
        </is>
      </c>
      <c r="G29" s="8" t="inlineStr">
        <is>
          <t>Estructuras</t>
        </is>
      </c>
      <c r="H29" s="8" t="inlineStr">
        <is>
          <t>S6-TJ</t>
        </is>
      </c>
    </row>
    <row r="30">
      <c r="A30" s="8" t="inlineStr">
        <is>
          <t>AC/R-5K|Suelo/Losa|SOLARMET</t>
        </is>
      </c>
      <c r="B30" s="8" t="inlineStr">
        <is>
          <t>AC/R-5K</t>
        </is>
      </c>
      <c r="C30" s="8" t="inlineStr">
        <is>
          <t>Suelo/Losa</t>
        </is>
      </c>
      <c r="D30" s="8" t="inlineStr">
        <is>
          <t>SOLARMET</t>
        </is>
      </c>
      <c r="E30" s="8" t="n">
        <v>2</v>
      </c>
      <c r="F30" s="9" t="inlineStr">
        <is>
          <t>Set Estructuras Suelo / Losa SOLARMET (x6)</t>
        </is>
      </c>
      <c r="G30" s="8" t="inlineStr">
        <is>
          <t>Estructuras</t>
        </is>
      </c>
      <c r="H30" s="8" t="inlineStr">
        <is>
          <t>SL-6U</t>
        </is>
      </c>
    </row>
    <row r="31">
      <c r="A31" s="8" t="inlineStr">
        <is>
          <t>AC/R-5K|Suelo/Losa|MIBET</t>
        </is>
      </c>
      <c r="B31" s="8" t="inlineStr">
        <is>
          <t>AC/R-5K</t>
        </is>
      </c>
      <c r="C31" s="8" t="inlineStr">
        <is>
          <t>Suelo/Losa</t>
        </is>
      </c>
      <c r="D31" s="8" t="inlineStr">
        <is>
          <t>MIBET</t>
        </is>
      </c>
      <c r="E31" s="8" t="n">
        <v>2</v>
      </c>
      <c r="F31" s="9" t="inlineStr">
        <is>
          <t>Kit Estructura Suelo MIBET GMS-3x720 (6 paneles c/u — viene armado)</t>
        </is>
      </c>
      <c r="G31" s="8" t="inlineStr">
        <is>
          <t>Estructuras</t>
        </is>
      </c>
      <c r="H31" s="8" t="inlineStr">
        <is>
          <t>GMS-3x720</t>
        </is>
      </c>
    </row>
    <row r="32">
      <c r="A32" s="8" t="inlineStr">
        <is>
          <t>ECT-8K|Chapa|SOLARMET</t>
        </is>
      </c>
      <c r="B32" s="8" t="inlineStr">
        <is>
          <t>ECT-8K</t>
        </is>
      </c>
      <c r="C32" s="8" t="inlineStr">
        <is>
          <t>Chapa</t>
        </is>
      </c>
      <c r="D32" s="8" t="inlineStr">
        <is>
          <t>SOLARMET</t>
        </is>
      </c>
      <c r="E32" s="8" t="n">
        <v>2</v>
      </c>
      <c r="F32" s="9" t="inlineStr">
        <is>
          <t>Set Estructuras Techo Coplanar Chapa SOLARMET (x8)</t>
        </is>
      </c>
      <c r="G32" s="8" t="inlineStr">
        <is>
          <t>Estructuras</t>
        </is>
      </c>
      <c r="H32" s="8" t="inlineStr">
        <is>
          <t>C-8U</t>
        </is>
      </c>
    </row>
    <row r="33">
      <c r="A33" s="8" t="inlineStr">
        <is>
          <t>ECT-8K|Chapa|MIBET</t>
        </is>
      </c>
      <c r="B33" s="8" t="inlineStr">
        <is>
          <t>ECT-8K</t>
        </is>
      </c>
      <c r="C33" s="8" t="inlineStr">
        <is>
          <t>Chapa</t>
        </is>
      </c>
      <c r="D33" s="8" t="inlineStr">
        <is>
          <t>MIBET</t>
        </is>
      </c>
      <c r="E33" s="8" t="n">
        <v>2</v>
      </c>
      <c r="F33" s="9" t="inlineStr">
        <is>
          <t>Set Estructura Coplanar Chapa MIBET (x8)</t>
        </is>
      </c>
      <c r="G33" s="8" t="inlineStr">
        <is>
          <t>Estructuras</t>
        </is>
      </c>
      <c r="H33" s="8" t="inlineStr">
        <is>
          <t>S8-CH</t>
        </is>
      </c>
    </row>
    <row r="34">
      <c r="A34" s="8" t="inlineStr">
        <is>
          <t>ECT-8K|Teja|SOLARMET</t>
        </is>
      </c>
      <c r="B34" s="8" t="inlineStr">
        <is>
          <t>ECT-8K</t>
        </is>
      </c>
      <c r="C34" s="8" t="inlineStr">
        <is>
          <t>Teja</t>
        </is>
      </c>
      <c r="D34" s="8" t="inlineStr">
        <is>
          <t>SOLARMET</t>
        </is>
      </c>
      <c r="E34" s="8" t="n">
        <v>2</v>
      </c>
      <c r="F34" s="9" t="inlineStr">
        <is>
          <t>Set Estructuras Techo Coplanar Teja SOLARMET (x8)</t>
        </is>
      </c>
      <c r="G34" s="8" t="inlineStr">
        <is>
          <t>Estructuras</t>
        </is>
      </c>
      <c r="H34" s="8" t="inlineStr">
        <is>
          <t>T-8U</t>
        </is>
      </c>
    </row>
    <row r="35">
      <c r="A35" s="8" t="inlineStr">
        <is>
          <t>ECT-8K|Teja|MIBET</t>
        </is>
      </c>
      <c r="B35" s="8" t="inlineStr">
        <is>
          <t>ECT-8K</t>
        </is>
      </c>
      <c r="C35" s="8" t="inlineStr">
        <is>
          <t>Teja</t>
        </is>
      </c>
      <c r="D35" s="8" t="inlineStr">
        <is>
          <t>MIBET</t>
        </is>
      </c>
      <c r="E35" s="8" t="n">
        <v>2</v>
      </c>
      <c r="F35" s="9" t="inlineStr">
        <is>
          <t>Set Estructura Coplanar Teja MIBET (x8)</t>
        </is>
      </c>
      <c r="G35" s="8" t="inlineStr">
        <is>
          <t>Estructuras</t>
        </is>
      </c>
      <c r="H35" s="8" t="inlineStr">
        <is>
          <t>S8-TJ</t>
        </is>
      </c>
    </row>
    <row r="36">
      <c r="A36" s="8" t="inlineStr">
        <is>
          <t>ECT-8K|Suelo/Losa|SOLARMET</t>
        </is>
      </c>
      <c r="B36" s="8" t="inlineStr">
        <is>
          <t>ECT-8K</t>
        </is>
      </c>
      <c r="C36" s="8" t="inlineStr">
        <is>
          <t>Suelo/Losa</t>
        </is>
      </c>
      <c r="D36" s="8" t="inlineStr">
        <is>
          <t>SOLARMET</t>
        </is>
      </c>
      <c r="E36" s="8" t="n">
        <v>2</v>
      </c>
      <c r="F36" s="9" t="inlineStr">
        <is>
          <t>Set Estructuras Suelo / Losa SOLARMET (x8)</t>
        </is>
      </c>
      <c r="G36" s="8" t="inlineStr">
        <is>
          <t>Estructuras</t>
        </is>
      </c>
      <c r="H36" s="8" t="inlineStr">
        <is>
          <t>SL-8U</t>
        </is>
      </c>
    </row>
    <row r="37">
      <c r="A37" s="8" t="inlineStr">
        <is>
          <t>ECT-8K|Suelo/Losa|MIBET</t>
        </is>
      </c>
      <c r="B37" s="8" t="inlineStr">
        <is>
          <t>ECT-8K</t>
        </is>
      </c>
      <c r="C37" s="8" t="inlineStr">
        <is>
          <t>Suelo/Losa</t>
        </is>
      </c>
      <c r="D37" s="8" t="inlineStr">
        <is>
          <t>MIBET</t>
        </is>
      </c>
      <c r="E37" s="8" t="n">
        <v>4</v>
      </c>
      <c r="F37" s="9" t="inlineStr">
        <is>
          <t>Kit Estructura Suelo MIBET GMS-3x720 (6 paneles c/u — viene armado)</t>
        </is>
      </c>
      <c r="G37" s="8" t="inlineStr">
        <is>
          <t>Estructuras</t>
        </is>
      </c>
      <c r="H37" s="8" t="inlineStr">
        <is>
          <t>GMS-3x720</t>
        </is>
      </c>
    </row>
    <row r="38">
      <c r="A38" s="8" t="inlineStr">
        <is>
          <t>ECT-12K|Chapa|SOLARMET</t>
        </is>
      </c>
      <c r="B38" s="8" t="inlineStr">
        <is>
          <t>ECT-12K</t>
        </is>
      </c>
      <c r="C38" s="8" t="inlineStr">
        <is>
          <t>Chapa</t>
        </is>
      </c>
      <c r="D38" s="8" t="inlineStr">
        <is>
          <t>SOLARMET</t>
        </is>
      </c>
      <c r="E38" s="8" t="n">
        <v>4</v>
      </c>
      <c r="F38" s="9" t="inlineStr">
        <is>
          <t>Set Estructuras Techo Coplanar Chapa SOLARMET (x6)</t>
        </is>
      </c>
      <c r="G38" s="8" t="inlineStr">
        <is>
          <t>Estructuras</t>
        </is>
      </c>
      <c r="H38" s="8" t="inlineStr">
        <is>
          <t>C-6U</t>
        </is>
      </c>
    </row>
    <row r="39">
      <c r="A39" s="8" t="inlineStr">
        <is>
          <t>ECT-12K|Chapa|MIBET</t>
        </is>
      </c>
      <c r="B39" s="8" t="inlineStr">
        <is>
          <t>ECT-12K</t>
        </is>
      </c>
      <c r="C39" s="8" t="inlineStr">
        <is>
          <t>Chapa</t>
        </is>
      </c>
      <c r="D39" s="8" t="inlineStr">
        <is>
          <t>MIBET</t>
        </is>
      </c>
      <c r="E39" s="8" t="n">
        <v>4</v>
      </c>
      <c r="F39" s="9" t="inlineStr">
        <is>
          <t>Set Estructura Coplanar Chapa MIBET (x6)</t>
        </is>
      </c>
      <c r="G39" s="8" t="inlineStr">
        <is>
          <t>Estructuras</t>
        </is>
      </c>
      <c r="H39" s="8" t="inlineStr">
        <is>
          <t>S6-CH</t>
        </is>
      </c>
    </row>
    <row r="40">
      <c r="A40" s="8" t="inlineStr">
        <is>
          <t>ECT-12K|Teja|SOLARMET</t>
        </is>
      </c>
      <c r="B40" s="8" t="inlineStr">
        <is>
          <t>ECT-12K</t>
        </is>
      </c>
      <c r="C40" s="8" t="inlineStr">
        <is>
          <t>Teja</t>
        </is>
      </c>
      <c r="D40" s="8" t="inlineStr">
        <is>
          <t>SOLARMET</t>
        </is>
      </c>
      <c r="E40" s="8" t="n">
        <v>4</v>
      </c>
      <c r="F40" s="9" t="inlineStr">
        <is>
          <t>Set Estructuras Techo Coplanar Teja SOLARMET (x6)</t>
        </is>
      </c>
      <c r="G40" s="8" t="inlineStr">
        <is>
          <t>Estructuras</t>
        </is>
      </c>
      <c r="H40" s="8" t="inlineStr">
        <is>
          <t>T-6U</t>
        </is>
      </c>
    </row>
    <row r="41">
      <c r="A41" s="8" t="inlineStr">
        <is>
          <t>ECT-12K|Teja|MIBET</t>
        </is>
      </c>
      <c r="B41" s="8" t="inlineStr">
        <is>
          <t>ECT-12K</t>
        </is>
      </c>
      <c r="C41" s="8" t="inlineStr">
        <is>
          <t>Teja</t>
        </is>
      </c>
      <c r="D41" s="8" t="inlineStr">
        <is>
          <t>MIBET</t>
        </is>
      </c>
      <c r="E41" s="8" t="n">
        <v>4</v>
      </c>
      <c r="F41" s="9" t="inlineStr">
        <is>
          <t>Set Estructura Coplanar Teja MIBET (x6)</t>
        </is>
      </c>
      <c r="G41" s="8" t="inlineStr">
        <is>
          <t>Estructuras</t>
        </is>
      </c>
      <c r="H41" s="8" t="inlineStr">
        <is>
          <t>S6-TJ</t>
        </is>
      </c>
    </row>
    <row r="42">
      <c r="A42" s="8" t="inlineStr">
        <is>
          <t>ECT-12K|Suelo/Losa|SOLARMET</t>
        </is>
      </c>
      <c r="B42" s="8" t="inlineStr">
        <is>
          <t>ECT-12K</t>
        </is>
      </c>
      <c r="C42" s="8" t="inlineStr">
        <is>
          <t>Suelo/Losa</t>
        </is>
      </c>
      <c r="D42" s="8" t="inlineStr">
        <is>
          <t>SOLARMET</t>
        </is>
      </c>
      <c r="E42" s="8" t="n">
        <v>4</v>
      </c>
      <c r="F42" s="9" t="inlineStr">
        <is>
          <t>Set Estructuras Suelo / Losa SOLARMET (x6)</t>
        </is>
      </c>
      <c r="G42" s="8" t="inlineStr">
        <is>
          <t>Estructuras</t>
        </is>
      </c>
      <c r="H42" s="8" t="inlineStr">
        <is>
          <t>SL-6U</t>
        </is>
      </c>
    </row>
    <row r="43">
      <c r="A43" s="8" t="inlineStr">
        <is>
          <t>ECT-12K|Suelo/Losa|MIBET</t>
        </is>
      </c>
      <c r="B43" s="8" t="inlineStr">
        <is>
          <t>ECT-12K</t>
        </is>
      </c>
      <c r="C43" s="8" t="inlineStr">
        <is>
          <t>Suelo/Losa</t>
        </is>
      </c>
      <c r="D43" s="8" t="inlineStr">
        <is>
          <t>MIBET</t>
        </is>
      </c>
      <c r="E43" s="8" t="n">
        <v>4</v>
      </c>
      <c r="F43" s="9" t="inlineStr">
        <is>
          <t>Kit Estructura Suelo MIBET GMS-3x720 (6 paneles c/u — viene armado)</t>
        </is>
      </c>
      <c r="G43" s="8" t="inlineStr">
        <is>
          <t>Estructuras</t>
        </is>
      </c>
      <c r="H43" s="8" t="inlineStr">
        <is>
          <t>GMS-3x720</t>
        </is>
      </c>
    </row>
    <row r="44">
      <c r="A44" s="8" t="inlineStr">
        <is>
          <t>ECT-20K|Chapa|SOLARMET</t>
        </is>
      </c>
      <c r="B44" s="8" t="inlineStr">
        <is>
          <t>ECT-20K</t>
        </is>
      </c>
      <c r="C44" s="8" t="inlineStr">
        <is>
          <t>Chapa</t>
        </is>
      </c>
      <c r="D44" s="8" t="inlineStr">
        <is>
          <t>SOLARMET</t>
        </is>
      </c>
      <c r="E44" s="8" t="n">
        <v>5</v>
      </c>
      <c r="F44" s="9" t="inlineStr">
        <is>
          <t>Set Estructuras Techo Coplanar Chapa SOLARMET (x8)</t>
        </is>
      </c>
      <c r="G44" s="8" t="inlineStr">
        <is>
          <t>Estructuras</t>
        </is>
      </c>
      <c r="H44" s="8" t="inlineStr">
        <is>
          <t>C-8U</t>
        </is>
      </c>
    </row>
    <row r="45">
      <c r="A45" s="8" t="inlineStr">
        <is>
          <t>ECT-20K|Chapa|MIBET</t>
        </is>
      </c>
      <c r="B45" s="8" t="inlineStr">
        <is>
          <t>ECT-20K</t>
        </is>
      </c>
      <c r="C45" s="8" t="inlineStr">
        <is>
          <t>Chapa</t>
        </is>
      </c>
      <c r="D45" s="8" t="inlineStr">
        <is>
          <t>MIBET</t>
        </is>
      </c>
      <c r="E45" s="8" t="n">
        <v>5</v>
      </c>
      <c r="F45" s="9" t="inlineStr">
        <is>
          <t>Set Estructura Coplanar Chapa MIBET (x8)</t>
        </is>
      </c>
      <c r="G45" s="8" t="inlineStr">
        <is>
          <t>Estructuras</t>
        </is>
      </c>
      <c r="H45" s="8" t="inlineStr">
        <is>
          <t>S8-CH</t>
        </is>
      </c>
    </row>
    <row r="46">
      <c r="A46" s="8" t="inlineStr">
        <is>
          <t>ECT-20K|Teja|SOLARMET</t>
        </is>
      </c>
      <c r="B46" s="8" t="inlineStr">
        <is>
          <t>ECT-20K</t>
        </is>
      </c>
      <c r="C46" s="8" t="inlineStr">
        <is>
          <t>Teja</t>
        </is>
      </c>
      <c r="D46" s="8" t="inlineStr">
        <is>
          <t>SOLARMET</t>
        </is>
      </c>
      <c r="E46" s="8" t="n">
        <v>5</v>
      </c>
      <c r="F46" s="9" t="inlineStr">
        <is>
          <t>Set Estructuras Techo Coplanar Teja SOLARMET (x8)</t>
        </is>
      </c>
      <c r="G46" s="8" t="inlineStr">
        <is>
          <t>Estructuras</t>
        </is>
      </c>
      <c r="H46" s="8" t="inlineStr">
        <is>
          <t>T-8U</t>
        </is>
      </c>
    </row>
    <row r="47">
      <c r="A47" s="8" t="inlineStr">
        <is>
          <t>ECT-20K|Teja|MIBET</t>
        </is>
      </c>
      <c r="B47" s="8" t="inlineStr">
        <is>
          <t>ECT-20K</t>
        </is>
      </c>
      <c r="C47" s="8" t="inlineStr">
        <is>
          <t>Teja</t>
        </is>
      </c>
      <c r="D47" s="8" t="inlineStr">
        <is>
          <t>MIBET</t>
        </is>
      </c>
      <c r="E47" s="8" t="n">
        <v>5</v>
      </c>
      <c r="F47" s="9" t="inlineStr">
        <is>
          <t>Set Estructura Coplanar Teja MIBET (x8)</t>
        </is>
      </c>
      <c r="G47" s="8" t="inlineStr">
        <is>
          <t>Estructuras</t>
        </is>
      </c>
      <c r="H47" s="8" t="inlineStr">
        <is>
          <t>S8-TJ</t>
        </is>
      </c>
    </row>
    <row r="48">
      <c r="A48" s="8" t="inlineStr">
        <is>
          <t>ECT-20K|Suelo/Losa|SOLARMET</t>
        </is>
      </c>
      <c r="B48" s="8" t="inlineStr">
        <is>
          <t>ECT-20K</t>
        </is>
      </c>
      <c r="C48" s="8" t="inlineStr">
        <is>
          <t>Suelo/Losa</t>
        </is>
      </c>
      <c r="D48" s="8" t="inlineStr">
        <is>
          <t>SOLARMET</t>
        </is>
      </c>
      <c r="E48" s="8" t="n">
        <v>5</v>
      </c>
      <c r="F48" s="9" t="inlineStr">
        <is>
          <t>Set Estructuras Suelo / Losa SOLARMET (x8)</t>
        </is>
      </c>
      <c r="G48" s="8" t="inlineStr">
        <is>
          <t>Estructuras</t>
        </is>
      </c>
      <c r="H48" s="8" t="inlineStr">
        <is>
          <t>SL-8U</t>
        </is>
      </c>
    </row>
    <row r="49">
      <c r="A49" s="8" t="inlineStr">
        <is>
          <t>ECT-20K|Suelo/Losa|MIBET</t>
        </is>
      </c>
      <c r="B49" s="8" t="inlineStr">
        <is>
          <t>ECT-20K</t>
        </is>
      </c>
      <c r="C49" s="8" t="inlineStr">
        <is>
          <t>Suelo/Losa</t>
        </is>
      </c>
      <c r="D49" s="8" t="inlineStr">
        <is>
          <t>MIBET</t>
        </is>
      </c>
      <c r="E49" s="8" t="n">
        <v>10</v>
      </c>
      <c r="F49" s="9" t="inlineStr">
        <is>
          <t>Kit Estructura Suelo MIBET GMS-3x720 (6 paneles c/u — viene armado)</t>
        </is>
      </c>
      <c r="G49" s="8" t="inlineStr">
        <is>
          <t>Estructuras</t>
        </is>
      </c>
      <c r="H49" s="8" t="inlineStr">
        <is>
          <t>GMS-3x720</t>
        </is>
      </c>
    </row>
    <row r="50">
      <c r="A50" s="8" t="inlineStr">
        <is>
          <t>PS-8K|Chapa|SOLARMET</t>
        </is>
      </c>
      <c r="B50" s="8" t="inlineStr">
        <is>
          <t>PS-8K</t>
        </is>
      </c>
      <c r="C50" s="8" t="inlineStr">
        <is>
          <t>Chapa</t>
        </is>
      </c>
      <c r="D50" s="8" t="inlineStr">
        <is>
          <t>SOLARMET</t>
        </is>
      </c>
      <c r="E50" s="8" t="n">
        <v>2</v>
      </c>
      <c r="F50" s="9" t="inlineStr">
        <is>
          <t>Set Estructuras Techo Coplanar Chapa SOLARMET (x8)</t>
        </is>
      </c>
      <c r="G50" s="8" t="inlineStr">
        <is>
          <t>Estructuras</t>
        </is>
      </c>
      <c r="H50" s="8" t="inlineStr">
        <is>
          <t>C-8U</t>
        </is>
      </c>
    </row>
    <row r="51">
      <c r="A51" s="8" t="inlineStr">
        <is>
          <t>PS-8K|Chapa|MIBET</t>
        </is>
      </c>
      <c r="B51" s="8" t="inlineStr">
        <is>
          <t>PS-8K</t>
        </is>
      </c>
      <c r="C51" s="8" t="inlineStr">
        <is>
          <t>Chapa</t>
        </is>
      </c>
      <c r="D51" s="8" t="inlineStr">
        <is>
          <t>MIBET</t>
        </is>
      </c>
      <c r="E51" s="8" t="n">
        <v>2</v>
      </c>
      <c r="F51" s="9" t="inlineStr">
        <is>
          <t>Set Estructura Coplanar Chapa MIBET (x8)</t>
        </is>
      </c>
      <c r="G51" s="8" t="inlineStr">
        <is>
          <t>Estructuras</t>
        </is>
      </c>
      <c r="H51" s="8" t="inlineStr">
        <is>
          <t>S8-CH</t>
        </is>
      </c>
    </row>
    <row r="52">
      <c r="A52" s="8" t="inlineStr">
        <is>
          <t>PS-8K|Teja|SOLARMET</t>
        </is>
      </c>
      <c r="B52" s="8" t="inlineStr">
        <is>
          <t>PS-8K</t>
        </is>
      </c>
      <c r="C52" s="8" t="inlineStr">
        <is>
          <t>Teja</t>
        </is>
      </c>
      <c r="D52" s="8" t="inlineStr">
        <is>
          <t>SOLARMET</t>
        </is>
      </c>
      <c r="E52" s="8" t="n">
        <v>2</v>
      </c>
      <c r="F52" s="9" t="inlineStr">
        <is>
          <t>Set Estructuras Techo Coplanar Teja SOLARMET (x8)</t>
        </is>
      </c>
      <c r="G52" s="8" t="inlineStr">
        <is>
          <t>Estructuras</t>
        </is>
      </c>
      <c r="H52" s="8" t="inlineStr">
        <is>
          <t>T-8U</t>
        </is>
      </c>
    </row>
    <row r="53">
      <c r="A53" s="8" t="inlineStr">
        <is>
          <t>PS-8K|Teja|MIBET</t>
        </is>
      </c>
      <c r="B53" s="8" t="inlineStr">
        <is>
          <t>PS-8K</t>
        </is>
      </c>
      <c r="C53" s="8" t="inlineStr">
        <is>
          <t>Teja</t>
        </is>
      </c>
      <c r="D53" s="8" t="inlineStr">
        <is>
          <t>MIBET</t>
        </is>
      </c>
      <c r="E53" s="8" t="n">
        <v>2</v>
      </c>
      <c r="F53" s="9" t="inlineStr">
        <is>
          <t>Set Estructura Coplanar Teja MIBET (x8)</t>
        </is>
      </c>
      <c r="G53" s="8" t="inlineStr">
        <is>
          <t>Estructuras</t>
        </is>
      </c>
      <c r="H53" s="8" t="inlineStr">
        <is>
          <t>S8-TJ</t>
        </is>
      </c>
    </row>
    <row r="54">
      <c r="A54" s="8" t="inlineStr">
        <is>
          <t>PS-8K|Suelo/Losa|SOLARMET</t>
        </is>
      </c>
      <c r="B54" s="8" t="inlineStr">
        <is>
          <t>PS-8K</t>
        </is>
      </c>
      <c r="C54" s="8" t="inlineStr">
        <is>
          <t>Suelo/Losa</t>
        </is>
      </c>
      <c r="D54" s="8" t="inlineStr">
        <is>
          <t>SOLARMET</t>
        </is>
      </c>
      <c r="E54" s="8" t="n">
        <v>2</v>
      </c>
      <c r="F54" s="9" t="inlineStr">
        <is>
          <t>Set Estructuras Suelo / Losa SOLARMET (x8)</t>
        </is>
      </c>
      <c r="G54" s="8" t="inlineStr">
        <is>
          <t>Estructuras</t>
        </is>
      </c>
      <c r="H54" s="8" t="inlineStr">
        <is>
          <t>SL-8U</t>
        </is>
      </c>
    </row>
    <row r="55">
      <c r="A55" s="8" t="inlineStr">
        <is>
          <t>PS-8K|Suelo/Losa|MIBET</t>
        </is>
      </c>
      <c r="B55" s="8" t="inlineStr">
        <is>
          <t>PS-8K</t>
        </is>
      </c>
      <c r="C55" s="8" t="inlineStr">
        <is>
          <t>Suelo/Losa</t>
        </is>
      </c>
      <c r="D55" s="8" t="inlineStr">
        <is>
          <t>MIBET</t>
        </is>
      </c>
      <c r="E55" s="8" t="n">
        <v>4</v>
      </c>
      <c r="F55" s="9" t="inlineStr">
        <is>
          <t>Kit Estructura Suelo MIBET GMS-3x720 (6 paneles c/u — viene armado)</t>
        </is>
      </c>
      <c r="G55" s="8" t="inlineStr">
        <is>
          <t>Estructuras</t>
        </is>
      </c>
      <c r="H55" s="8" t="inlineStr">
        <is>
          <t>GMS-3x720</t>
        </is>
      </c>
    </row>
    <row r="56">
      <c r="A56" s="8" t="inlineStr">
        <is>
          <t>PS-10K|Chapa|SOLARMET</t>
        </is>
      </c>
      <c r="B56" s="8" t="inlineStr">
        <is>
          <t>PS-10K</t>
        </is>
      </c>
      <c r="C56" s="8" t="inlineStr">
        <is>
          <t>Chapa</t>
        </is>
      </c>
      <c r="D56" s="8" t="inlineStr">
        <is>
          <t>SOLARMET</t>
        </is>
      </c>
      <c r="E56" s="8" t="n">
        <v>3</v>
      </c>
      <c r="F56" s="9" t="inlineStr">
        <is>
          <t>Set Estructuras Techo Coplanar Chapa SOLARMET (x6)</t>
        </is>
      </c>
      <c r="G56" s="8" t="inlineStr">
        <is>
          <t>Estructuras</t>
        </is>
      </c>
      <c r="H56" s="8" t="inlineStr">
        <is>
          <t>C-6U</t>
        </is>
      </c>
    </row>
    <row r="57">
      <c r="A57" s="8" t="inlineStr">
        <is>
          <t>PS-10K|Chapa|MIBET</t>
        </is>
      </c>
      <c r="B57" s="8" t="inlineStr">
        <is>
          <t>PS-10K</t>
        </is>
      </c>
      <c r="C57" s="8" t="inlineStr">
        <is>
          <t>Chapa</t>
        </is>
      </c>
      <c r="D57" s="8" t="inlineStr">
        <is>
          <t>MIBET</t>
        </is>
      </c>
      <c r="E57" s="8" t="n">
        <v>3</v>
      </c>
      <c r="F57" s="9" t="inlineStr">
        <is>
          <t>Set Estructura Coplanar Chapa MIBET (x6)</t>
        </is>
      </c>
      <c r="G57" s="8" t="inlineStr">
        <is>
          <t>Estructuras</t>
        </is>
      </c>
      <c r="H57" s="8" t="inlineStr">
        <is>
          <t>S6-CH</t>
        </is>
      </c>
    </row>
    <row r="58">
      <c r="A58" s="8" t="inlineStr">
        <is>
          <t>PS-10K|Teja|SOLARMET</t>
        </is>
      </c>
      <c r="B58" s="8" t="inlineStr">
        <is>
          <t>PS-10K</t>
        </is>
      </c>
      <c r="C58" s="8" t="inlineStr">
        <is>
          <t>Teja</t>
        </is>
      </c>
      <c r="D58" s="8" t="inlineStr">
        <is>
          <t>SOLARMET</t>
        </is>
      </c>
      <c r="E58" s="8" t="n">
        <v>3</v>
      </c>
      <c r="F58" s="9" t="inlineStr">
        <is>
          <t>Set Estructuras Techo Coplanar Teja SOLARMET (x6)</t>
        </is>
      </c>
      <c r="G58" s="8" t="inlineStr">
        <is>
          <t>Estructuras</t>
        </is>
      </c>
      <c r="H58" s="8" t="inlineStr">
        <is>
          <t>T-6U</t>
        </is>
      </c>
    </row>
    <row r="59">
      <c r="A59" s="8" t="inlineStr">
        <is>
          <t>PS-10K|Teja|MIBET</t>
        </is>
      </c>
      <c r="B59" s="8" t="inlineStr">
        <is>
          <t>PS-10K</t>
        </is>
      </c>
      <c r="C59" s="8" t="inlineStr">
        <is>
          <t>Teja</t>
        </is>
      </c>
      <c r="D59" s="8" t="inlineStr">
        <is>
          <t>MIBET</t>
        </is>
      </c>
      <c r="E59" s="8" t="n">
        <v>3</v>
      </c>
      <c r="F59" s="9" t="inlineStr">
        <is>
          <t>Set Estructura Coplanar Teja MIBET (x6)</t>
        </is>
      </c>
      <c r="G59" s="8" t="inlineStr">
        <is>
          <t>Estructuras</t>
        </is>
      </c>
      <c r="H59" s="8" t="inlineStr">
        <is>
          <t>S6-TJ</t>
        </is>
      </c>
    </row>
    <row r="60">
      <c r="A60" s="8" t="inlineStr">
        <is>
          <t>PS-10K|Suelo/Losa|SOLARMET</t>
        </is>
      </c>
      <c r="B60" s="8" t="inlineStr">
        <is>
          <t>PS-10K</t>
        </is>
      </c>
      <c r="C60" s="8" t="inlineStr">
        <is>
          <t>Suelo/Losa</t>
        </is>
      </c>
      <c r="D60" s="8" t="inlineStr">
        <is>
          <t>SOLARMET</t>
        </is>
      </c>
      <c r="E60" s="8" t="n">
        <v>3</v>
      </c>
      <c r="F60" s="9" t="inlineStr">
        <is>
          <t>Set Estructuras Suelo / Losa SOLARMET (x6)</t>
        </is>
      </c>
      <c r="G60" s="8" t="inlineStr">
        <is>
          <t>Estructuras</t>
        </is>
      </c>
      <c r="H60" s="8" t="inlineStr">
        <is>
          <t>SL-6U</t>
        </is>
      </c>
    </row>
    <row r="61">
      <c r="A61" s="8" t="inlineStr">
        <is>
          <t>PS-10K|Suelo/Losa|MIBET</t>
        </is>
      </c>
      <c r="B61" s="8" t="inlineStr">
        <is>
          <t>PS-10K</t>
        </is>
      </c>
      <c r="C61" s="8" t="inlineStr">
        <is>
          <t>Suelo/Losa</t>
        </is>
      </c>
      <c r="D61" s="8" t="inlineStr">
        <is>
          <t>MIBET</t>
        </is>
      </c>
      <c r="E61" s="8" t="n">
        <v>3</v>
      </c>
      <c r="F61" s="9" t="inlineStr">
        <is>
          <t>Kit Estructura Suelo MIBET GMS-3x720 (6 paneles c/u — viene armado)</t>
        </is>
      </c>
      <c r="G61" s="8" t="inlineStr">
        <is>
          <t>Estructuras</t>
        </is>
      </c>
      <c r="H61" s="8" t="inlineStr">
        <is>
          <t>GMS-3x720</t>
        </is>
      </c>
    </row>
    <row r="62">
      <c r="A62" s="8" t="inlineStr">
        <is>
          <t>PS-12K|Chapa|SOLARMET</t>
        </is>
      </c>
      <c r="B62" s="8" t="inlineStr">
        <is>
          <t>PS-12K</t>
        </is>
      </c>
      <c r="C62" s="8" t="inlineStr">
        <is>
          <t>Chapa</t>
        </is>
      </c>
      <c r="D62" s="8" t="inlineStr">
        <is>
          <t>SOLARMET</t>
        </is>
      </c>
      <c r="E62" s="8" t="n">
        <v>4</v>
      </c>
      <c r="F62" s="9" t="inlineStr">
        <is>
          <t>Set Estructuras Techo Coplanar Chapa SOLARMET (x6)</t>
        </is>
      </c>
      <c r="G62" s="8" t="inlineStr">
        <is>
          <t>Estructuras</t>
        </is>
      </c>
      <c r="H62" s="8" t="inlineStr">
        <is>
          <t>C-6U</t>
        </is>
      </c>
    </row>
    <row r="63">
      <c r="A63" s="8" t="inlineStr">
        <is>
          <t>PS-12K|Chapa|MIBET</t>
        </is>
      </c>
      <c r="B63" s="8" t="inlineStr">
        <is>
          <t>PS-12K</t>
        </is>
      </c>
      <c r="C63" s="8" t="inlineStr">
        <is>
          <t>Chapa</t>
        </is>
      </c>
      <c r="D63" s="8" t="inlineStr">
        <is>
          <t>MIBET</t>
        </is>
      </c>
      <c r="E63" s="8" t="n">
        <v>4</v>
      </c>
      <c r="F63" s="9" t="inlineStr">
        <is>
          <t>Set Estructura Coplanar Chapa MIBET (x6)</t>
        </is>
      </c>
      <c r="G63" s="8" t="inlineStr">
        <is>
          <t>Estructuras</t>
        </is>
      </c>
      <c r="H63" s="8" t="inlineStr">
        <is>
          <t>S6-CH</t>
        </is>
      </c>
    </row>
    <row r="64">
      <c r="A64" s="8" t="inlineStr">
        <is>
          <t>PS-12K|Teja|SOLARMET</t>
        </is>
      </c>
      <c r="B64" s="8" t="inlineStr">
        <is>
          <t>PS-12K</t>
        </is>
      </c>
      <c r="C64" s="8" t="inlineStr">
        <is>
          <t>Teja</t>
        </is>
      </c>
      <c r="D64" s="8" t="inlineStr">
        <is>
          <t>SOLARMET</t>
        </is>
      </c>
      <c r="E64" s="8" t="n">
        <v>4</v>
      </c>
      <c r="F64" s="9" t="inlineStr">
        <is>
          <t>Set Estructuras Techo Coplanar Teja SOLARMET (x6)</t>
        </is>
      </c>
      <c r="G64" s="8" t="inlineStr">
        <is>
          <t>Estructuras</t>
        </is>
      </c>
      <c r="H64" s="8" t="inlineStr">
        <is>
          <t>T-6U</t>
        </is>
      </c>
    </row>
    <row r="65">
      <c r="A65" s="8" t="inlineStr">
        <is>
          <t>PS-12K|Teja|MIBET</t>
        </is>
      </c>
      <c r="B65" s="8" t="inlineStr">
        <is>
          <t>PS-12K</t>
        </is>
      </c>
      <c r="C65" s="8" t="inlineStr">
        <is>
          <t>Teja</t>
        </is>
      </c>
      <c r="D65" s="8" t="inlineStr">
        <is>
          <t>MIBET</t>
        </is>
      </c>
      <c r="E65" s="8" t="n">
        <v>4</v>
      </c>
      <c r="F65" s="9" t="inlineStr">
        <is>
          <t>Set Estructura Coplanar Teja MIBET (x6)</t>
        </is>
      </c>
      <c r="G65" s="8" t="inlineStr">
        <is>
          <t>Estructuras</t>
        </is>
      </c>
      <c r="H65" s="8" t="inlineStr">
        <is>
          <t>S6-TJ</t>
        </is>
      </c>
    </row>
    <row r="66">
      <c r="A66" s="8" t="inlineStr">
        <is>
          <t>PS-12K|Suelo/Losa|SOLARMET</t>
        </is>
      </c>
      <c r="B66" s="8" t="inlineStr">
        <is>
          <t>PS-12K</t>
        </is>
      </c>
      <c r="C66" s="8" t="inlineStr">
        <is>
          <t>Suelo/Losa</t>
        </is>
      </c>
      <c r="D66" s="8" t="inlineStr">
        <is>
          <t>SOLARMET</t>
        </is>
      </c>
      <c r="E66" s="8" t="n">
        <v>4</v>
      </c>
      <c r="F66" s="9" t="inlineStr">
        <is>
          <t>Set Estructuras Suelo / Losa SOLARMET (x6)</t>
        </is>
      </c>
      <c r="G66" s="8" t="inlineStr">
        <is>
          <t>Estructuras</t>
        </is>
      </c>
      <c r="H66" s="8" t="inlineStr">
        <is>
          <t>SL-6U</t>
        </is>
      </c>
    </row>
    <row r="67">
      <c r="A67" s="8" t="inlineStr">
        <is>
          <t>PS-12K|Suelo/Losa|MIBET</t>
        </is>
      </c>
      <c r="B67" s="8" t="inlineStr">
        <is>
          <t>PS-12K</t>
        </is>
      </c>
      <c r="C67" s="8" t="inlineStr">
        <is>
          <t>Suelo/Losa</t>
        </is>
      </c>
      <c r="D67" s="8" t="inlineStr">
        <is>
          <t>MIBET</t>
        </is>
      </c>
      <c r="E67" s="8" t="n">
        <v>4</v>
      </c>
      <c r="F67" s="9" t="inlineStr">
        <is>
          <t>Kit Estructura Suelo MIBET GMS-3x720 (6 paneles c/u — viene armado)</t>
        </is>
      </c>
      <c r="G67" s="8" t="inlineStr">
        <is>
          <t>Estructuras</t>
        </is>
      </c>
      <c r="H67" s="8" t="inlineStr">
        <is>
          <t>GMS-3x720</t>
        </is>
      </c>
    </row>
    <row r="68">
      <c r="A68" s="8" t="inlineStr">
        <is>
          <t>PS-15K|Chapa|SOLARMET</t>
        </is>
      </c>
      <c r="B68" s="8" t="inlineStr">
        <is>
          <t>PS-15K</t>
        </is>
      </c>
      <c r="C68" s="8" t="inlineStr">
        <is>
          <t>Chapa</t>
        </is>
      </c>
      <c r="D68" s="8" t="inlineStr">
        <is>
          <t>SOLARMET</t>
        </is>
      </c>
      <c r="E68" s="8" t="n">
        <v>4</v>
      </c>
      <c r="F68" s="9" t="inlineStr">
        <is>
          <t>Set Estructuras Techo Coplanar Chapa SOLARMET (x8)</t>
        </is>
      </c>
      <c r="G68" s="8" t="inlineStr">
        <is>
          <t>Estructuras</t>
        </is>
      </c>
      <c r="H68" s="8" t="inlineStr">
        <is>
          <t>C-8U</t>
        </is>
      </c>
    </row>
    <row r="69">
      <c r="A69" s="8" t="inlineStr">
        <is>
          <t>PS-15K|Chapa|MIBET</t>
        </is>
      </c>
      <c r="B69" s="8" t="inlineStr">
        <is>
          <t>PS-15K</t>
        </is>
      </c>
      <c r="C69" s="8" t="inlineStr">
        <is>
          <t>Chapa</t>
        </is>
      </c>
      <c r="D69" s="8" t="inlineStr">
        <is>
          <t>MIBET</t>
        </is>
      </c>
      <c r="E69" s="8" t="n">
        <v>4</v>
      </c>
      <c r="F69" s="9" t="inlineStr">
        <is>
          <t>Set Estructura Coplanar Chapa MIBET (x8)</t>
        </is>
      </c>
      <c r="G69" s="8" t="inlineStr">
        <is>
          <t>Estructuras</t>
        </is>
      </c>
      <c r="H69" s="8" t="inlineStr">
        <is>
          <t>S8-CH</t>
        </is>
      </c>
    </row>
    <row r="70">
      <c r="A70" s="8" t="inlineStr">
        <is>
          <t>PS-15K|Teja|SOLARMET</t>
        </is>
      </c>
      <c r="B70" s="8" t="inlineStr">
        <is>
          <t>PS-15K</t>
        </is>
      </c>
      <c r="C70" s="8" t="inlineStr">
        <is>
          <t>Teja</t>
        </is>
      </c>
      <c r="D70" s="8" t="inlineStr">
        <is>
          <t>SOLARMET</t>
        </is>
      </c>
      <c r="E70" s="8" t="n">
        <v>4</v>
      </c>
      <c r="F70" s="9" t="inlineStr">
        <is>
          <t>Set Estructuras Techo Coplanar Teja SOLARMET (x8)</t>
        </is>
      </c>
      <c r="G70" s="8" t="inlineStr">
        <is>
          <t>Estructuras</t>
        </is>
      </c>
      <c r="H70" s="8" t="inlineStr">
        <is>
          <t>T-8U</t>
        </is>
      </c>
    </row>
    <row r="71">
      <c r="A71" s="8" t="inlineStr">
        <is>
          <t>PS-15K|Teja|MIBET</t>
        </is>
      </c>
      <c r="B71" s="8" t="inlineStr">
        <is>
          <t>PS-15K</t>
        </is>
      </c>
      <c r="C71" s="8" t="inlineStr">
        <is>
          <t>Teja</t>
        </is>
      </c>
      <c r="D71" s="8" t="inlineStr">
        <is>
          <t>MIBET</t>
        </is>
      </c>
      <c r="E71" s="8" t="n">
        <v>4</v>
      </c>
      <c r="F71" s="9" t="inlineStr">
        <is>
          <t>Set Estructura Coplanar Teja MIBET (x8)</t>
        </is>
      </c>
      <c r="G71" s="8" t="inlineStr">
        <is>
          <t>Estructuras</t>
        </is>
      </c>
      <c r="H71" s="8" t="inlineStr">
        <is>
          <t>S8-TJ</t>
        </is>
      </c>
    </row>
    <row r="72">
      <c r="A72" s="8" t="inlineStr">
        <is>
          <t>PS-15K|Suelo/Losa|SOLARMET</t>
        </is>
      </c>
      <c r="B72" s="8" t="inlineStr">
        <is>
          <t>PS-15K</t>
        </is>
      </c>
      <c r="C72" s="8" t="inlineStr">
        <is>
          <t>Suelo/Losa</t>
        </is>
      </c>
      <c r="D72" s="8" t="inlineStr">
        <is>
          <t>SOLARMET</t>
        </is>
      </c>
      <c r="E72" s="8" t="n">
        <v>4</v>
      </c>
      <c r="F72" s="9" t="inlineStr">
        <is>
          <t>Set Estructuras Suelo / Losa SOLARMET (x8)</t>
        </is>
      </c>
      <c r="G72" s="8" t="inlineStr">
        <is>
          <t>Estructuras</t>
        </is>
      </c>
      <c r="H72" s="8" t="inlineStr">
        <is>
          <t>SL-8U</t>
        </is>
      </c>
    </row>
    <row r="73">
      <c r="A73" s="8" t="inlineStr">
        <is>
          <t>PS-15K|Suelo/Losa|MIBET</t>
        </is>
      </c>
      <c r="B73" s="8" t="inlineStr">
        <is>
          <t>PS-15K</t>
        </is>
      </c>
      <c r="C73" s="8" t="inlineStr">
        <is>
          <t>Suelo/Losa</t>
        </is>
      </c>
      <c r="D73" s="8" t="inlineStr">
        <is>
          <t>MIBET</t>
        </is>
      </c>
      <c r="E73" s="8" t="n">
        <v>8</v>
      </c>
      <c r="F73" s="9" t="inlineStr">
        <is>
          <t>Kit Estructura Suelo MIBET GMS-3x720 (6 paneles c/u — viene armado)</t>
        </is>
      </c>
      <c r="G73" s="8" t="inlineStr">
        <is>
          <t>Estructuras</t>
        </is>
      </c>
      <c r="H73" s="8" t="inlineStr">
        <is>
          <t>GMS-3x720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8" customWidth="1" min="4" max="4"/>
    <col width="42" customWidth="1" min="5" max="5"/>
    <col width="14" customWidth="1" min="6" max="6"/>
    <col width="12" customWidth="1" min="7" max="7"/>
    <col width="28" customWidth="1" min="8" max="8"/>
  </cols>
  <sheetData>
    <row r="1">
      <c r="A1" s="12" t="inlineStr">
        <is>
          <t>Key</t>
        </is>
      </c>
      <c r="B1" s="12" t="inlineStr">
        <is>
          <t>Código Kit</t>
        </is>
      </c>
      <c r="C1" s="12" t="inlineStr">
        <is>
          <t>Tipo Soporte</t>
        </is>
      </c>
      <c r="D1" s="12" t="inlineStr">
        <is>
          <t>Qty</t>
        </is>
      </c>
      <c r="E1" s="12" t="inlineStr">
        <is>
          <t>Item</t>
        </is>
      </c>
      <c r="F1" s="12" t="inlineStr">
        <is>
          <t>Categoría</t>
        </is>
      </c>
      <c r="G1" s="12" t="inlineStr">
        <is>
          <t>Marca</t>
        </is>
      </c>
      <c r="H1" s="12" t="inlineStr">
        <is>
          <t>Código</t>
        </is>
      </c>
    </row>
    <row r="2">
      <c r="A2" s="8" t="inlineStr">
        <is>
          <t>PS-8K|Pared</t>
        </is>
      </c>
      <c r="B2" s="8" t="inlineStr">
        <is>
          <t>PS-8K</t>
        </is>
      </c>
      <c r="C2" s="8" t="inlineStr">
        <is>
          <t>Pared</t>
        </is>
      </c>
      <c r="D2" s="8" t="n">
        <v>1</v>
      </c>
      <c r="E2" s="9" t="inlineStr">
        <is>
          <t>Soporte batería Lynx D para pared</t>
        </is>
      </c>
      <c r="F2" s="8" t="inlineStr">
        <is>
          <t>Accesorios</t>
        </is>
      </c>
      <c r="G2" s="8" t="inlineStr">
        <is>
          <t>SOLARMET</t>
        </is>
      </c>
      <c r="H2" s="8" t="inlineStr">
        <is>
          <t>Hanger assembly for Lynx D</t>
        </is>
      </c>
    </row>
    <row r="3">
      <c r="A3" s="8" t="inlineStr">
        <is>
          <t>PS-8K|Suelo</t>
        </is>
      </c>
      <c r="B3" s="8" t="inlineStr">
        <is>
          <t>PS-8K</t>
        </is>
      </c>
      <c r="C3" s="8" t="inlineStr">
        <is>
          <t>Suelo</t>
        </is>
      </c>
      <c r="D3" s="8" t="n">
        <v>1</v>
      </c>
      <c r="E3" s="9" t="inlineStr">
        <is>
          <t>Base batería Lynx D para suelo</t>
        </is>
      </c>
      <c r="F3" s="8" t="inlineStr">
        <is>
          <t>Accesorios</t>
        </is>
      </c>
      <c r="G3" s="8" t="inlineStr">
        <is>
          <t>SOLARMET</t>
        </is>
      </c>
      <c r="H3" s="8" t="inlineStr">
        <is>
          <t>Base assembly for Lynx D</t>
        </is>
      </c>
    </row>
    <row r="4">
      <c r="A4" s="8" t="inlineStr">
        <is>
          <t>PS-10K|Pared</t>
        </is>
      </c>
      <c r="B4" s="8" t="inlineStr">
        <is>
          <t>PS-10K</t>
        </is>
      </c>
      <c r="C4" s="8" t="inlineStr">
        <is>
          <t>Pared</t>
        </is>
      </c>
      <c r="D4" s="8" t="n">
        <v>1</v>
      </c>
      <c r="E4" s="9" t="inlineStr">
        <is>
          <t>Soporte batería Lynx D para pared</t>
        </is>
      </c>
      <c r="F4" s="8" t="inlineStr">
        <is>
          <t>Accesorios</t>
        </is>
      </c>
      <c r="G4" s="8" t="inlineStr">
        <is>
          <t>SOLARMET</t>
        </is>
      </c>
      <c r="H4" s="8" t="inlineStr">
        <is>
          <t>Hanger assembly for Lynx D</t>
        </is>
      </c>
    </row>
    <row r="5">
      <c r="A5" s="8" t="inlineStr">
        <is>
          <t>PS-10K|Suelo</t>
        </is>
      </c>
      <c r="B5" s="8" t="inlineStr">
        <is>
          <t>PS-10K</t>
        </is>
      </c>
      <c r="C5" s="8" t="inlineStr">
        <is>
          <t>Suelo</t>
        </is>
      </c>
      <c r="D5" s="8" t="n">
        <v>1</v>
      </c>
      <c r="E5" s="9" t="inlineStr">
        <is>
          <t>Base batería Lynx D para suelo</t>
        </is>
      </c>
      <c r="F5" s="8" t="inlineStr">
        <is>
          <t>Accesorios</t>
        </is>
      </c>
      <c r="G5" s="8" t="inlineStr">
        <is>
          <t>SOLARMET</t>
        </is>
      </c>
      <c r="H5" s="8" t="inlineStr">
        <is>
          <t>Base assembly for Lynx D</t>
        </is>
      </c>
    </row>
    <row r="6">
      <c r="A6" s="8" t="inlineStr">
        <is>
          <t>PS-12K|Pared</t>
        </is>
      </c>
      <c r="B6" s="8" t="inlineStr">
        <is>
          <t>PS-12K</t>
        </is>
      </c>
      <c r="C6" s="8" t="inlineStr">
        <is>
          <t>Pared</t>
        </is>
      </c>
      <c r="D6" s="8" t="n">
        <v>2</v>
      </c>
      <c r="E6" s="9" t="inlineStr">
        <is>
          <t>Soporte batería Lynx D para pared</t>
        </is>
      </c>
      <c r="F6" s="8" t="inlineStr">
        <is>
          <t>Accesorios</t>
        </is>
      </c>
      <c r="G6" s="8" t="inlineStr">
        <is>
          <t>SOLARMET</t>
        </is>
      </c>
      <c r="H6" s="8" t="inlineStr">
        <is>
          <t>Hanger assembly for Lynx D</t>
        </is>
      </c>
    </row>
    <row r="7">
      <c r="A7" s="8" t="inlineStr">
        <is>
          <t>PS-12K|Suelo</t>
        </is>
      </c>
      <c r="B7" s="8" t="inlineStr">
        <is>
          <t>PS-12K</t>
        </is>
      </c>
      <c r="C7" s="8" t="inlineStr">
        <is>
          <t>Suelo</t>
        </is>
      </c>
      <c r="D7" s="8" t="n">
        <v>2</v>
      </c>
      <c r="E7" s="9" t="inlineStr">
        <is>
          <t>Base batería Lynx D para suelo</t>
        </is>
      </c>
      <c r="F7" s="8" t="inlineStr">
        <is>
          <t>Accesorios</t>
        </is>
      </c>
      <c r="G7" s="8" t="inlineStr">
        <is>
          <t>SOLARMET</t>
        </is>
      </c>
      <c r="H7" s="8" t="inlineStr">
        <is>
          <t>Base assembly for Lynx D</t>
        </is>
      </c>
    </row>
    <row r="8">
      <c r="A8" s="8" t="inlineStr">
        <is>
          <t>PS-15K|Pared</t>
        </is>
      </c>
      <c r="B8" s="8" t="inlineStr">
        <is>
          <t>PS-15K</t>
        </is>
      </c>
      <c r="C8" s="8" t="inlineStr">
        <is>
          <t>Pared</t>
        </is>
      </c>
      <c r="D8" s="8" t="n">
        <v>2</v>
      </c>
      <c r="E8" s="9" t="inlineStr">
        <is>
          <t>Soporte batería Lynx D para pared</t>
        </is>
      </c>
      <c r="F8" s="8" t="inlineStr">
        <is>
          <t>Accesorios</t>
        </is>
      </c>
      <c r="G8" s="8" t="inlineStr">
        <is>
          <t>SOLARMET</t>
        </is>
      </c>
      <c r="H8" s="8" t="inlineStr">
        <is>
          <t>Hanger assembly for Lynx D</t>
        </is>
      </c>
    </row>
    <row r="9">
      <c r="A9" s="8" t="inlineStr">
        <is>
          <t>PS-15K|Suelo</t>
        </is>
      </c>
      <c r="B9" s="8" t="inlineStr">
        <is>
          <t>PS-15K</t>
        </is>
      </c>
      <c r="C9" s="8" t="inlineStr">
        <is>
          <t>Suelo</t>
        </is>
      </c>
      <c r="D9" s="8" t="n">
        <v>2</v>
      </c>
      <c r="E9" s="9" t="inlineStr">
        <is>
          <t>Base batería Lynx D para suelo</t>
        </is>
      </c>
      <c r="F9" s="8" t="inlineStr">
        <is>
          <t>Accesorios</t>
        </is>
      </c>
      <c r="G9" s="8" t="inlineStr">
        <is>
          <t>SOLARMET</t>
        </is>
      </c>
      <c r="H9" s="8" t="inlineStr">
        <is>
          <t>Base assembly for Lynx 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42" customWidth="1" min="5" max="5"/>
    <col width="14" customWidth="1" min="6" max="6"/>
    <col width="16" customWidth="1" min="7" max="7"/>
  </cols>
  <sheetData>
    <row r="1">
      <c r="A1" s="12" t="inlineStr">
        <is>
          <t>Key</t>
        </is>
      </c>
      <c r="B1" s="12" t="inlineStr">
        <is>
          <t>Código Set</t>
        </is>
      </c>
      <c r="C1" s="12" t="inlineStr">
        <is>
          <t>Marca</t>
        </is>
      </c>
      <c r="D1" s="12" t="inlineStr">
        <is>
          <t>Qty (por set)</t>
        </is>
      </c>
      <c r="E1" s="12" t="inlineStr">
        <is>
          <t>Item</t>
        </is>
      </c>
      <c r="F1" s="12" t="inlineStr">
        <is>
          <t>Categoría</t>
        </is>
      </c>
      <c r="G1" s="12" t="inlineStr">
        <is>
          <t>Código</t>
        </is>
      </c>
    </row>
    <row r="2">
      <c r="A2" s="8" t="inlineStr">
        <is>
          <t>C-5U|1</t>
        </is>
      </c>
      <c r="B2" s="8" t="inlineStr">
        <is>
          <t>C-5U</t>
        </is>
      </c>
      <c r="C2" s="8" t="inlineStr">
        <is>
          <t>SOLARMET</t>
        </is>
      </c>
      <c r="D2" s="8" t="n">
        <v>12</v>
      </c>
      <c r="E2" s="9" t="inlineStr">
        <is>
          <t>MiniMET 0.5m Mini Riel Solarmet</t>
        </is>
      </c>
      <c r="F2" s="8" t="inlineStr">
        <is>
          <t>Estructuras</t>
        </is>
      </c>
      <c r="G2" s="8" t="inlineStr">
        <is>
          <t>NESTMNR050</t>
        </is>
      </c>
    </row>
    <row r="3">
      <c r="A3" s="8" t="inlineStr">
        <is>
          <t>C-5U|2</t>
        </is>
      </c>
      <c r="B3" s="8" t="inlineStr">
        <is>
          <t>C-5U</t>
        </is>
      </c>
      <c r="C3" s="8" t="inlineStr">
        <is>
          <t>SOLARMET</t>
        </is>
      </c>
      <c r="D3" s="8" t="n">
        <v>1</v>
      </c>
      <c r="E3" s="9" t="inlineStr">
        <is>
          <t>Kit Anclajes Laterales</t>
        </is>
      </c>
      <c r="F3" s="8" t="inlineStr">
        <is>
          <t>Estructuras</t>
        </is>
      </c>
      <c r="G3" s="8" t="inlineStr">
        <is>
          <t>NESTSKITAL</t>
        </is>
      </c>
    </row>
    <row r="4">
      <c r="A4" s="8" t="inlineStr">
        <is>
          <t>C-5U|3</t>
        </is>
      </c>
      <c r="B4" s="8" t="inlineStr">
        <is>
          <t>C-5U</t>
        </is>
      </c>
      <c r="C4" s="8" t="inlineStr">
        <is>
          <t>SOLARMET</t>
        </is>
      </c>
      <c r="D4" s="8" t="n">
        <v>2</v>
      </c>
      <c r="E4" s="9" t="inlineStr">
        <is>
          <t>Kit Anclajes Medios - 4 Paneles</t>
        </is>
      </c>
      <c r="F4" s="8" t="inlineStr">
        <is>
          <t>Estructuras</t>
        </is>
      </c>
      <c r="G4" s="8" t="inlineStr">
        <is>
          <t>NESTSKITM4</t>
        </is>
      </c>
    </row>
    <row r="5">
      <c r="A5" s="8" t="inlineStr">
        <is>
          <t>C-6U|1</t>
        </is>
      </c>
      <c r="B5" s="8" t="inlineStr">
        <is>
          <t>C-6U</t>
        </is>
      </c>
      <c r="C5" s="8" t="inlineStr">
        <is>
          <t>SOLARMET</t>
        </is>
      </c>
      <c r="D5" s="8" t="n">
        <v>14</v>
      </c>
      <c r="E5" s="9" t="inlineStr">
        <is>
          <t>MiniMET 0.5m Mini Riel Solarmet</t>
        </is>
      </c>
      <c r="F5" s="8" t="inlineStr">
        <is>
          <t>Estructuras</t>
        </is>
      </c>
      <c r="G5" s="8" t="inlineStr">
        <is>
          <t>NESTMNR050</t>
        </is>
      </c>
    </row>
    <row r="6">
      <c r="A6" s="8" t="inlineStr">
        <is>
          <t>C-6U|2</t>
        </is>
      </c>
      <c r="B6" s="8" t="inlineStr">
        <is>
          <t>C-6U</t>
        </is>
      </c>
      <c r="C6" s="8" t="inlineStr">
        <is>
          <t>SOLARMET</t>
        </is>
      </c>
      <c r="D6" s="8" t="n">
        <v>1</v>
      </c>
      <c r="E6" s="9" t="inlineStr">
        <is>
          <t>Kit Anclajes Laterales</t>
        </is>
      </c>
      <c r="F6" s="8" t="inlineStr">
        <is>
          <t>Estructuras</t>
        </is>
      </c>
      <c r="G6" s="8" t="inlineStr">
        <is>
          <t>NESTSKITAL</t>
        </is>
      </c>
    </row>
    <row r="7">
      <c r="A7" s="8" t="inlineStr">
        <is>
          <t>C-6U|3</t>
        </is>
      </c>
      <c r="B7" s="8" t="inlineStr">
        <is>
          <t>C-6U</t>
        </is>
      </c>
      <c r="C7" s="8" t="inlineStr">
        <is>
          <t>SOLARMET</t>
        </is>
      </c>
      <c r="D7" s="8" t="n">
        <v>2</v>
      </c>
      <c r="E7" s="9" t="inlineStr">
        <is>
          <t>Kit Anclajes Medios - 4 Paneles</t>
        </is>
      </c>
      <c r="F7" s="8" t="inlineStr">
        <is>
          <t>Estructuras</t>
        </is>
      </c>
      <c r="G7" s="8" t="inlineStr">
        <is>
          <t>NESTSKITM4</t>
        </is>
      </c>
    </row>
    <row r="8">
      <c r="A8" s="8" t="inlineStr">
        <is>
          <t>C-8U|1</t>
        </is>
      </c>
      <c r="B8" s="8" t="inlineStr">
        <is>
          <t>C-8U</t>
        </is>
      </c>
      <c r="C8" s="8" t="inlineStr">
        <is>
          <t>SOLARMET</t>
        </is>
      </c>
      <c r="D8" s="8" t="n">
        <v>18</v>
      </c>
      <c r="E8" s="9" t="inlineStr">
        <is>
          <t>MiniMET 0.5m Mini Riel Solarmet</t>
        </is>
      </c>
      <c r="F8" s="8" t="inlineStr">
        <is>
          <t>Estructuras</t>
        </is>
      </c>
      <c r="G8" s="8" t="inlineStr">
        <is>
          <t>NESTMNR050</t>
        </is>
      </c>
    </row>
    <row r="9">
      <c r="A9" s="8" t="inlineStr">
        <is>
          <t>C-8U|2</t>
        </is>
      </c>
      <c r="B9" s="8" t="inlineStr">
        <is>
          <t>C-8U</t>
        </is>
      </c>
      <c r="C9" s="8" t="inlineStr">
        <is>
          <t>SOLARMET</t>
        </is>
      </c>
      <c r="D9" s="8" t="n">
        <v>1</v>
      </c>
      <c r="E9" s="9" t="inlineStr">
        <is>
          <t>Kit Anclajes Laterales</t>
        </is>
      </c>
      <c r="F9" s="8" t="inlineStr">
        <is>
          <t>Estructuras</t>
        </is>
      </c>
      <c r="G9" s="8" t="inlineStr">
        <is>
          <t>NESTSKITAL</t>
        </is>
      </c>
    </row>
    <row r="10">
      <c r="A10" s="8" t="inlineStr">
        <is>
          <t>C-8U|3</t>
        </is>
      </c>
      <c r="B10" s="8" t="inlineStr">
        <is>
          <t>C-8U</t>
        </is>
      </c>
      <c r="C10" s="8" t="inlineStr">
        <is>
          <t>SOLARMET</t>
        </is>
      </c>
      <c r="D10" s="8" t="n">
        <v>3</v>
      </c>
      <c r="E10" s="9" t="inlineStr">
        <is>
          <t>Kit Anclajes Medios - 4 Paneles</t>
        </is>
      </c>
      <c r="F10" s="8" t="inlineStr">
        <is>
          <t>Estructuras</t>
        </is>
      </c>
      <c r="G10" s="8" t="inlineStr">
        <is>
          <t>NESTSKITM4</t>
        </is>
      </c>
    </row>
    <row r="11">
      <c r="A11" s="8" t="inlineStr">
        <is>
          <t>T-5U|1</t>
        </is>
      </c>
      <c r="B11" s="8" t="inlineStr">
        <is>
          <t>T-5U</t>
        </is>
      </c>
      <c r="C11" s="8" t="inlineStr">
        <is>
          <t>SOLARMET</t>
        </is>
      </c>
      <c r="D11" s="8" t="n">
        <v>4</v>
      </c>
      <c r="E11" s="9" t="inlineStr">
        <is>
          <t>Perfil CODA N2 (3.55m)</t>
        </is>
      </c>
      <c r="F11" s="8" t="inlineStr">
        <is>
          <t>Estructuras</t>
        </is>
      </c>
      <c r="G11" s="8" t="inlineStr">
        <is>
          <t>NESTSCO35D</t>
        </is>
      </c>
    </row>
    <row r="12">
      <c r="A12" s="8" t="inlineStr">
        <is>
          <t>T-5U|2</t>
        </is>
      </c>
      <c r="B12" s="8" t="inlineStr">
        <is>
          <t>T-5U</t>
        </is>
      </c>
      <c r="C12" s="8" t="inlineStr">
        <is>
          <t>SOLARMET</t>
        </is>
      </c>
      <c r="D12" s="8" t="n">
        <v>2</v>
      </c>
      <c r="E12" s="9" t="inlineStr">
        <is>
          <t>Anclaje Teja V2</t>
        </is>
      </c>
      <c r="F12" s="8" t="inlineStr">
        <is>
          <t>Estructuras</t>
        </is>
      </c>
      <c r="G12" s="8" t="inlineStr">
        <is>
          <t>NESTSTEJA1</t>
        </is>
      </c>
    </row>
    <row r="13">
      <c r="A13" s="8" t="inlineStr">
        <is>
          <t>T-5U|3</t>
        </is>
      </c>
      <c r="B13" s="8" t="inlineStr">
        <is>
          <t>T-5U</t>
        </is>
      </c>
      <c r="C13" s="8" t="inlineStr">
        <is>
          <t>SOLARMET</t>
        </is>
      </c>
      <c r="D13" s="8" t="n">
        <v>1</v>
      </c>
      <c r="E13" s="9" t="inlineStr">
        <is>
          <t>Kit Anclajes Laterales</t>
        </is>
      </c>
      <c r="F13" s="8" t="inlineStr">
        <is>
          <t>Estructuras</t>
        </is>
      </c>
      <c r="G13" s="8" t="inlineStr">
        <is>
          <t>NESTSKITAL</t>
        </is>
      </c>
    </row>
    <row r="14">
      <c r="A14" s="8" t="inlineStr">
        <is>
          <t>T-5U|4</t>
        </is>
      </c>
      <c r="B14" s="8" t="inlineStr">
        <is>
          <t>T-5U</t>
        </is>
      </c>
      <c r="C14" s="8" t="inlineStr">
        <is>
          <t>SOLARMET</t>
        </is>
      </c>
      <c r="D14" s="8" t="n">
        <v>2</v>
      </c>
      <c r="E14" s="9" t="inlineStr">
        <is>
          <t>Kit Anclajes Medios - 4 Paneles</t>
        </is>
      </c>
      <c r="F14" s="8" t="inlineStr">
        <is>
          <t>Estructuras</t>
        </is>
      </c>
      <c r="G14" s="8" t="inlineStr">
        <is>
          <t>NESTSKITM4</t>
        </is>
      </c>
    </row>
    <row r="15">
      <c r="A15" s="8" t="inlineStr">
        <is>
          <t>T-5U|5</t>
        </is>
      </c>
      <c r="B15" s="8" t="inlineStr">
        <is>
          <t>T-5U</t>
        </is>
      </c>
      <c r="C15" s="8" t="inlineStr">
        <is>
          <t>SOLARMET</t>
        </is>
      </c>
      <c r="D15" s="8" t="n">
        <v>1</v>
      </c>
      <c r="E15" s="9" t="inlineStr">
        <is>
          <t>Kit Conexion CODA N2</t>
        </is>
      </c>
      <c r="F15" s="8" t="inlineStr">
        <is>
          <t>Estructuras</t>
        </is>
      </c>
      <c r="G15" s="8" t="inlineStr">
        <is>
          <t>NESTSKITCX</t>
        </is>
      </c>
    </row>
    <row r="16">
      <c r="A16" s="8" t="inlineStr">
        <is>
          <t>T-6U|1</t>
        </is>
      </c>
      <c r="B16" s="8" t="inlineStr">
        <is>
          <t>T-6U</t>
        </is>
      </c>
      <c r="C16" s="8" t="inlineStr">
        <is>
          <t>SOLARMET</t>
        </is>
      </c>
      <c r="D16" s="8" t="n">
        <v>4</v>
      </c>
      <c r="E16" s="9" t="inlineStr">
        <is>
          <t>Perfil CODA N2 (3.55m)</t>
        </is>
      </c>
      <c r="F16" s="8" t="inlineStr">
        <is>
          <t>Estructuras</t>
        </is>
      </c>
      <c r="G16" s="8" t="inlineStr">
        <is>
          <t>NESTSCO35D</t>
        </is>
      </c>
    </row>
    <row r="17">
      <c r="A17" s="8" t="inlineStr">
        <is>
          <t>T-6U|2</t>
        </is>
      </c>
      <c r="B17" s="8" t="inlineStr">
        <is>
          <t>T-6U</t>
        </is>
      </c>
      <c r="C17" s="8" t="inlineStr">
        <is>
          <t>SOLARMET</t>
        </is>
      </c>
      <c r="D17" s="8" t="n">
        <v>2</v>
      </c>
      <c r="E17" s="9" t="inlineStr">
        <is>
          <t>Anclaje Teja V2</t>
        </is>
      </c>
      <c r="F17" s="8" t="inlineStr">
        <is>
          <t>Estructuras</t>
        </is>
      </c>
      <c r="G17" s="8" t="inlineStr">
        <is>
          <t>NESTSTEJA1</t>
        </is>
      </c>
    </row>
    <row r="18">
      <c r="A18" s="8" t="inlineStr">
        <is>
          <t>T-6U|3</t>
        </is>
      </c>
      <c r="B18" s="8" t="inlineStr">
        <is>
          <t>T-6U</t>
        </is>
      </c>
      <c r="C18" s="8" t="inlineStr">
        <is>
          <t>SOLARMET</t>
        </is>
      </c>
      <c r="D18" s="8" t="n">
        <v>1</v>
      </c>
      <c r="E18" s="9" t="inlineStr">
        <is>
          <t>Kit Anclajes Laterales</t>
        </is>
      </c>
      <c r="F18" s="8" t="inlineStr">
        <is>
          <t>Estructuras</t>
        </is>
      </c>
      <c r="G18" s="8" t="inlineStr">
        <is>
          <t>NESTSKITAL</t>
        </is>
      </c>
    </row>
    <row r="19">
      <c r="A19" s="8" t="inlineStr">
        <is>
          <t>T-6U|4</t>
        </is>
      </c>
      <c r="B19" s="8" t="inlineStr">
        <is>
          <t>T-6U</t>
        </is>
      </c>
      <c r="C19" s="8" t="inlineStr">
        <is>
          <t>SOLARMET</t>
        </is>
      </c>
      <c r="D19" s="8" t="n">
        <v>2</v>
      </c>
      <c r="E19" s="9" t="inlineStr">
        <is>
          <t>Kit Anclajes Medios - 4 Paneles</t>
        </is>
      </c>
      <c r="F19" s="8" t="inlineStr">
        <is>
          <t>Estructuras</t>
        </is>
      </c>
      <c r="G19" s="8" t="inlineStr">
        <is>
          <t>NESTSKITM4</t>
        </is>
      </c>
    </row>
    <row r="20">
      <c r="A20" s="8" t="inlineStr">
        <is>
          <t>T-6U|5</t>
        </is>
      </c>
      <c r="B20" s="8" t="inlineStr">
        <is>
          <t>T-6U</t>
        </is>
      </c>
      <c r="C20" s="8" t="inlineStr">
        <is>
          <t>SOLARMET</t>
        </is>
      </c>
      <c r="D20" s="8" t="n">
        <v>1</v>
      </c>
      <c r="E20" s="9" t="inlineStr">
        <is>
          <t>Kit Conexion CODA N2</t>
        </is>
      </c>
      <c r="F20" s="8" t="inlineStr">
        <is>
          <t>Estructuras</t>
        </is>
      </c>
      <c r="G20" s="8" t="inlineStr">
        <is>
          <t>NESTSKITCX</t>
        </is>
      </c>
    </row>
    <row r="21">
      <c r="A21" s="8" t="inlineStr">
        <is>
          <t>T-8U|1</t>
        </is>
      </c>
      <c r="B21" s="8" t="inlineStr">
        <is>
          <t>T-8U</t>
        </is>
      </c>
      <c r="C21" s="8" t="inlineStr">
        <is>
          <t>SOLARMET</t>
        </is>
      </c>
      <c r="D21" s="8" t="n">
        <v>6</v>
      </c>
      <c r="E21" s="9" t="inlineStr">
        <is>
          <t>Perfil CODA N2 (3.55m)</t>
        </is>
      </c>
      <c r="F21" s="8" t="inlineStr">
        <is>
          <t>Estructuras</t>
        </is>
      </c>
      <c r="G21" s="8" t="inlineStr">
        <is>
          <t>NESTSCO35D</t>
        </is>
      </c>
    </row>
    <row r="22">
      <c r="A22" s="8" t="inlineStr">
        <is>
          <t>T-8U|2</t>
        </is>
      </c>
      <c r="B22" s="8" t="inlineStr">
        <is>
          <t>T-8U</t>
        </is>
      </c>
      <c r="C22" s="8" t="inlineStr">
        <is>
          <t>SOLARMET</t>
        </is>
      </c>
      <c r="D22" s="8" t="n">
        <v>2</v>
      </c>
      <c r="E22" s="9" t="inlineStr">
        <is>
          <t>Anclaje Teja V2</t>
        </is>
      </c>
      <c r="F22" s="8" t="inlineStr">
        <is>
          <t>Estructuras</t>
        </is>
      </c>
      <c r="G22" s="8" t="inlineStr">
        <is>
          <t>NESTSTEJA1</t>
        </is>
      </c>
    </row>
    <row r="23">
      <c r="A23" s="8" t="inlineStr">
        <is>
          <t>T-8U|3</t>
        </is>
      </c>
      <c r="B23" s="8" t="inlineStr">
        <is>
          <t>T-8U</t>
        </is>
      </c>
      <c r="C23" s="8" t="inlineStr">
        <is>
          <t>SOLARMET</t>
        </is>
      </c>
      <c r="D23" s="8" t="n">
        <v>1</v>
      </c>
      <c r="E23" s="9" t="inlineStr">
        <is>
          <t>Kit Anclajes Laterales</t>
        </is>
      </c>
      <c r="F23" s="8" t="inlineStr">
        <is>
          <t>Estructuras</t>
        </is>
      </c>
      <c r="G23" s="8" t="inlineStr">
        <is>
          <t>NESTSKITAL</t>
        </is>
      </c>
    </row>
    <row r="24">
      <c r="A24" s="8" t="inlineStr">
        <is>
          <t>T-8U|4</t>
        </is>
      </c>
      <c r="B24" s="8" t="inlineStr">
        <is>
          <t>T-8U</t>
        </is>
      </c>
      <c r="C24" s="8" t="inlineStr">
        <is>
          <t>SOLARMET</t>
        </is>
      </c>
      <c r="D24" s="8" t="n">
        <v>3</v>
      </c>
      <c r="E24" s="9" t="inlineStr">
        <is>
          <t>Kit Anclajes Medios - 4 Paneles</t>
        </is>
      </c>
      <c r="F24" s="8" t="inlineStr">
        <is>
          <t>Estructuras</t>
        </is>
      </c>
      <c r="G24" s="8" t="inlineStr">
        <is>
          <t>NESTSKITM4</t>
        </is>
      </c>
    </row>
    <row r="25">
      <c r="A25" s="8" t="inlineStr">
        <is>
          <t>T-8U|5</t>
        </is>
      </c>
      <c r="B25" s="8" t="inlineStr">
        <is>
          <t>T-8U</t>
        </is>
      </c>
      <c r="C25" s="8" t="inlineStr">
        <is>
          <t>SOLARMET</t>
        </is>
      </c>
      <c r="D25" s="8" t="n">
        <v>2</v>
      </c>
      <c r="E25" s="9" t="inlineStr">
        <is>
          <t>Kit Conexion CODA N2</t>
        </is>
      </c>
      <c r="F25" s="8" t="inlineStr">
        <is>
          <t>Estructuras</t>
        </is>
      </c>
      <c r="G25" s="8" t="inlineStr">
        <is>
          <t>NESTSKITCX</t>
        </is>
      </c>
    </row>
    <row r="26">
      <c r="A26" s="8" t="inlineStr">
        <is>
          <t>SL-5U|1</t>
        </is>
      </c>
      <c r="B26" s="8" t="inlineStr">
        <is>
          <t>SL-5U</t>
        </is>
      </c>
      <c r="C26" s="8" t="inlineStr">
        <is>
          <t>SOLARMET</t>
        </is>
      </c>
      <c r="D26" s="8" t="n">
        <v>3</v>
      </c>
      <c r="E26" s="9" t="inlineStr">
        <is>
          <t>Perfil CODA N2 (4.75m) V2</t>
        </is>
      </c>
      <c r="F26" s="8" t="inlineStr">
        <is>
          <t>Estructuras</t>
        </is>
      </c>
      <c r="G26" s="8" t="inlineStr">
        <is>
          <t>IESTSCO47D</t>
        </is>
      </c>
    </row>
    <row r="27">
      <c r="A27" s="8" t="inlineStr">
        <is>
          <t>SL-5U|2</t>
        </is>
      </c>
      <c r="B27" s="8" t="inlineStr">
        <is>
          <t>SL-5U</t>
        </is>
      </c>
      <c r="C27" s="8" t="inlineStr">
        <is>
          <t>SOLARMET</t>
        </is>
      </c>
      <c r="D27" s="8" t="n">
        <v>1</v>
      </c>
      <c r="E27" s="9" t="inlineStr">
        <is>
          <t>Kit Anclajes Laterales</t>
        </is>
      </c>
      <c r="F27" s="8" t="inlineStr">
        <is>
          <t>Estructuras</t>
        </is>
      </c>
      <c r="G27" s="8" t="inlineStr">
        <is>
          <t>NESTSKITAL</t>
        </is>
      </c>
    </row>
    <row r="28">
      <c r="A28" s="8" t="inlineStr">
        <is>
          <t>SL-5U|3</t>
        </is>
      </c>
      <c r="B28" s="8" t="inlineStr">
        <is>
          <t>SL-5U</t>
        </is>
      </c>
      <c r="C28" s="8" t="inlineStr">
        <is>
          <t>SOLARMET</t>
        </is>
      </c>
      <c r="D28" s="8" t="n">
        <v>2</v>
      </c>
      <c r="E28" s="9" t="inlineStr">
        <is>
          <t>Kit Anclajes Medios - 4 Paneles</t>
        </is>
      </c>
      <c r="F28" s="8" t="inlineStr">
        <is>
          <t>Estructuras</t>
        </is>
      </c>
      <c r="G28" s="8" t="inlineStr">
        <is>
          <t>NESTSKITM4</t>
        </is>
      </c>
    </row>
    <row r="29">
      <c r="A29" s="8" t="inlineStr">
        <is>
          <t>SL-5U|4</t>
        </is>
      </c>
      <c r="B29" s="8" t="inlineStr">
        <is>
          <t>SL-5U</t>
        </is>
      </c>
      <c r="C29" s="8" t="inlineStr">
        <is>
          <t>SOLARMET</t>
        </is>
      </c>
      <c r="D29" s="8" t="n">
        <v>1</v>
      </c>
      <c r="E29" s="9" t="inlineStr">
        <is>
          <t>Kit Conexion CODA N2</t>
        </is>
      </c>
      <c r="F29" s="8" t="inlineStr">
        <is>
          <t>Estructuras</t>
        </is>
      </c>
      <c r="G29" s="8" t="inlineStr">
        <is>
          <t>NESTSKITCX</t>
        </is>
      </c>
    </row>
    <row r="30">
      <c r="A30" s="8" t="inlineStr">
        <is>
          <t>SL-5U|5</t>
        </is>
      </c>
      <c r="B30" s="8" t="inlineStr">
        <is>
          <t>SL-5U</t>
        </is>
      </c>
      <c r="C30" s="8" t="inlineStr">
        <is>
          <t>SOLARMET</t>
        </is>
      </c>
      <c r="D30" s="8" t="n">
        <v>5</v>
      </c>
      <c r="E30" s="9" t="inlineStr">
        <is>
          <t>Triangulo Aluminio Regulable</t>
        </is>
      </c>
      <c r="F30" s="8" t="inlineStr">
        <is>
          <t>Estructuras</t>
        </is>
      </c>
      <c r="G30" s="8" t="inlineStr">
        <is>
          <t>NESTSTRIAN</t>
        </is>
      </c>
    </row>
    <row r="31">
      <c r="A31" s="8" t="inlineStr">
        <is>
          <t>SL-6U|1</t>
        </is>
      </c>
      <c r="B31" s="8" t="inlineStr">
        <is>
          <t>SL-6U</t>
        </is>
      </c>
      <c r="C31" s="8" t="inlineStr">
        <is>
          <t>SOLARMET</t>
        </is>
      </c>
      <c r="D31" s="8" t="n">
        <v>3</v>
      </c>
      <c r="E31" s="9" t="inlineStr">
        <is>
          <t>Perfil CODA N2 (4.75m) V2</t>
        </is>
      </c>
      <c r="F31" s="8" t="inlineStr">
        <is>
          <t>Estructuras</t>
        </is>
      </c>
      <c r="G31" s="8" t="inlineStr">
        <is>
          <t>IESTSCO47D</t>
        </is>
      </c>
    </row>
    <row r="32">
      <c r="A32" s="8" t="inlineStr">
        <is>
          <t>SL-6U|2</t>
        </is>
      </c>
      <c r="B32" s="8" t="inlineStr">
        <is>
          <t>SL-6U</t>
        </is>
      </c>
      <c r="C32" s="8" t="inlineStr">
        <is>
          <t>SOLARMET</t>
        </is>
      </c>
      <c r="D32" s="8" t="n">
        <v>1</v>
      </c>
      <c r="E32" s="9" t="inlineStr">
        <is>
          <t>Kit Anclajes Laterales</t>
        </is>
      </c>
      <c r="F32" s="8" t="inlineStr">
        <is>
          <t>Estructuras</t>
        </is>
      </c>
      <c r="G32" s="8" t="inlineStr">
        <is>
          <t>NESTSKITAL</t>
        </is>
      </c>
    </row>
    <row r="33">
      <c r="A33" s="8" t="inlineStr">
        <is>
          <t>SL-6U|3</t>
        </is>
      </c>
      <c r="B33" s="8" t="inlineStr">
        <is>
          <t>SL-6U</t>
        </is>
      </c>
      <c r="C33" s="8" t="inlineStr">
        <is>
          <t>SOLARMET</t>
        </is>
      </c>
      <c r="D33" s="8" t="n">
        <v>2</v>
      </c>
      <c r="E33" s="9" t="inlineStr">
        <is>
          <t>Kit Anclajes Medios - 4 Paneles</t>
        </is>
      </c>
      <c r="F33" s="8" t="inlineStr">
        <is>
          <t>Estructuras</t>
        </is>
      </c>
      <c r="G33" s="8" t="inlineStr">
        <is>
          <t>NESTSKITM4</t>
        </is>
      </c>
    </row>
    <row r="34">
      <c r="A34" s="8" t="inlineStr">
        <is>
          <t>SL-6U|4</t>
        </is>
      </c>
      <c r="B34" s="8" t="inlineStr">
        <is>
          <t>SL-6U</t>
        </is>
      </c>
      <c r="C34" s="8" t="inlineStr">
        <is>
          <t>SOLARMET</t>
        </is>
      </c>
      <c r="D34" s="8" t="n">
        <v>1</v>
      </c>
      <c r="E34" s="9" t="inlineStr">
        <is>
          <t>Kit Conexion CODA N2</t>
        </is>
      </c>
      <c r="F34" s="8" t="inlineStr">
        <is>
          <t>Estructuras</t>
        </is>
      </c>
      <c r="G34" s="8" t="inlineStr">
        <is>
          <t>NESTSKITCX</t>
        </is>
      </c>
    </row>
    <row r="35">
      <c r="A35" s="8" t="inlineStr">
        <is>
          <t>SL-6U|5</t>
        </is>
      </c>
      <c r="B35" s="8" t="inlineStr">
        <is>
          <t>SL-6U</t>
        </is>
      </c>
      <c r="C35" s="8" t="inlineStr">
        <is>
          <t>SOLARMET</t>
        </is>
      </c>
      <c r="D35" s="8" t="n">
        <v>6</v>
      </c>
      <c r="E35" s="9" t="inlineStr">
        <is>
          <t>Triangulo Aluminio Regulable</t>
        </is>
      </c>
      <c r="F35" s="8" t="inlineStr">
        <is>
          <t>Estructuras</t>
        </is>
      </c>
      <c r="G35" s="8" t="inlineStr">
        <is>
          <t>NESTSTRIAN</t>
        </is>
      </c>
    </row>
    <row r="36">
      <c r="A36" s="8" t="inlineStr">
        <is>
          <t>SL-8U|1</t>
        </is>
      </c>
      <c r="B36" s="8" t="inlineStr">
        <is>
          <t>SL-8U</t>
        </is>
      </c>
      <c r="C36" s="8" t="inlineStr">
        <is>
          <t>SOLARMET</t>
        </is>
      </c>
      <c r="D36" s="8" t="n">
        <v>4</v>
      </c>
      <c r="E36" s="9" t="inlineStr">
        <is>
          <t>Perfil CODA N2 (4.75m) V2</t>
        </is>
      </c>
      <c r="F36" s="8" t="inlineStr">
        <is>
          <t>Estructuras</t>
        </is>
      </c>
      <c r="G36" s="8" t="inlineStr">
        <is>
          <t>IESTSCO47D</t>
        </is>
      </c>
    </row>
    <row r="37">
      <c r="A37" s="8" t="inlineStr">
        <is>
          <t>SL-8U|2</t>
        </is>
      </c>
      <c r="B37" s="8" t="inlineStr">
        <is>
          <t>SL-8U</t>
        </is>
      </c>
      <c r="C37" s="8" t="inlineStr">
        <is>
          <t>SOLARMET</t>
        </is>
      </c>
      <c r="D37" s="8" t="n">
        <v>1</v>
      </c>
      <c r="E37" s="9" t="inlineStr">
        <is>
          <t>Kit Anclajes Laterales</t>
        </is>
      </c>
      <c r="F37" s="8" t="inlineStr">
        <is>
          <t>Estructuras</t>
        </is>
      </c>
      <c r="G37" s="8" t="inlineStr">
        <is>
          <t>NESTSKITAL</t>
        </is>
      </c>
    </row>
    <row r="38">
      <c r="A38" s="8" t="inlineStr">
        <is>
          <t>SL-8U|3</t>
        </is>
      </c>
      <c r="B38" s="8" t="inlineStr">
        <is>
          <t>SL-8U</t>
        </is>
      </c>
      <c r="C38" s="8" t="inlineStr">
        <is>
          <t>SOLARMET</t>
        </is>
      </c>
      <c r="D38" s="8" t="n">
        <v>3</v>
      </c>
      <c r="E38" s="9" t="inlineStr">
        <is>
          <t>Kit Anclajes Medios - 4 Paneles</t>
        </is>
      </c>
      <c r="F38" s="8" t="inlineStr">
        <is>
          <t>Estructuras</t>
        </is>
      </c>
      <c r="G38" s="8" t="inlineStr">
        <is>
          <t>NESTSKITM4</t>
        </is>
      </c>
    </row>
    <row r="39">
      <c r="A39" s="8" t="inlineStr">
        <is>
          <t>SL-8U|4</t>
        </is>
      </c>
      <c r="B39" s="8" t="inlineStr">
        <is>
          <t>SL-8U</t>
        </is>
      </c>
      <c r="C39" s="8" t="inlineStr">
        <is>
          <t>SOLARMET</t>
        </is>
      </c>
      <c r="D39" s="8" t="n">
        <v>1</v>
      </c>
      <c r="E39" s="9" t="inlineStr">
        <is>
          <t>Kit Conexion CODA N2</t>
        </is>
      </c>
      <c r="F39" s="8" t="inlineStr">
        <is>
          <t>Estructuras</t>
        </is>
      </c>
      <c r="G39" s="8" t="inlineStr">
        <is>
          <t>NESTSKITCX</t>
        </is>
      </c>
    </row>
    <row r="40">
      <c r="A40" s="8" t="inlineStr">
        <is>
          <t>SL-8U|5</t>
        </is>
      </c>
      <c r="B40" s="8" t="inlineStr">
        <is>
          <t>SL-8U</t>
        </is>
      </c>
      <c r="C40" s="8" t="inlineStr">
        <is>
          <t>SOLARMET</t>
        </is>
      </c>
      <c r="D40" s="8" t="n">
        <v>7</v>
      </c>
      <c r="E40" s="9" t="inlineStr">
        <is>
          <t>Triangulo Aluminio Regulable</t>
        </is>
      </c>
      <c r="F40" s="8" t="inlineStr">
        <is>
          <t>Estructuras</t>
        </is>
      </c>
      <c r="G40" s="8" t="inlineStr">
        <is>
          <t>NESTSTRIAN</t>
        </is>
      </c>
    </row>
    <row r="41">
      <c r="A41" s="8" t="inlineStr">
        <is>
          <t>S5-CH|1</t>
        </is>
      </c>
      <c r="B41" s="8" t="inlineStr">
        <is>
          <t>S5-CH</t>
        </is>
      </c>
      <c r="C41" s="8" t="inlineStr">
        <is>
          <t>MIBET</t>
        </is>
      </c>
      <c r="D41" s="8" t="n">
        <v>2</v>
      </c>
      <c r="E41" s="9" t="inlineStr">
        <is>
          <t>Riel aluminio 4.8m</t>
        </is>
      </c>
      <c r="F41" s="8" t="inlineStr">
        <is>
          <t>Estructuras</t>
        </is>
      </c>
      <c r="G41" s="8" t="inlineStr">
        <is>
          <t>AL6005-T5-22</t>
        </is>
      </c>
    </row>
    <row r="42">
      <c r="A42" s="8" t="inlineStr">
        <is>
          <t>S5-CH|2</t>
        </is>
      </c>
      <c r="B42" s="8" t="inlineStr">
        <is>
          <t>S5-CH</t>
        </is>
      </c>
      <c r="C42" s="8" t="inlineStr">
        <is>
          <t>MIBET</t>
        </is>
      </c>
      <c r="D42" s="8" t="n">
        <v>2</v>
      </c>
      <c r="E42" s="9" t="inlineStr">
        <is>
          <t>Riel aluminio 2.4m</t>
        </is>
      </c>
      <c r="F42" s="8" t="inlineStr">
        <is>
          <t>Estructuras</t>
        </is>
      </c>
      <c r="G42" s="8" t="inlineStr">
        <is>
          <t>AL6005-T5-24</t>
        </is>
      </c>
    </row>
    <row r="43">
      <c r="A43" s="8" t="inlineStr">
        <is>
          <t>S5-CH|3</t>
        </is>
      </c>
      <c r="B43" s="8" t="inlineStr">
        <is>
          <t>S5-CH</t>
        </is>
      </c>
      <c r="C43" s="8" t="inlineStr">
        <is>
          <t>MIBET</t>
        </is>
      </c>
      <c r="D43" s="8" t="n">
        <v>2</v>
      </c>
      <c r="E43" s="9" t="inlineStr">
        <is>
          <t>Empalme/unión de rieles</t>
        </is>
      </c>
      <c r="F43" s="8" t="inlineStr">
        <is>
          <t>Estructuras</t>
        </is>
      </c>
      <c r="G43" s="8" t="inlineStr">
        <is>
          <t>AL6005-T5-23</t>
        </is>
      </c>
    </row>
    <row r="44">
      <c r="A44" s="8" t="inlineStr">
        <is>
          <t>S5-CH|4</t>
        </is>
      </c>
      <c r="B44" s="8" t="inlineStr">
        <is>
          <t>S5-CH</t>
        </is>
      </c>
      <c r="C44" s="8" t="inlineStr">
        <is>
          <t>MIBET</t>
        </is>
      </c>
      <c r="D44" s="8" t="n">
        <v>8</v>
      </c>
      <c r="E44" s="9" t="inlineStr">
        <is>
          <t>Prensa intermedia (marco 30/35mm)</t>
        </is>
      </c>
      <c r="F44" s="8" t="inlineStr">
        <is>
          <t>Estructuras</t>
        </is>
      </c>
      <c r="G44" s="8" t="inlineStr">
        <is>
          <t>AL6005-T5-19</t>
        </is>
      </c>
    </row>
    <row r="45">
      <c r="A45" s="8" t="inlineStr">
        <is>
          <t>S5-CH|5</t>
        </is>
      </c>
      <c r="B45" s="8" t="inlineStr">
        <is>
          <t>S5-CH</t>
        </is>
      </c>
      <c r="C45" s="8" t="inlineStr">
        <is>
          <t>MIBET</t>
        </is>
      </c>
      <c r="D45" s="8" t="n">
        <v>4</v>
      </c>
      <c r="E45" s="9" t="inlineStr">
        <is>
          <t>Prensa final (marco 30/35mm)</t>
        </is>
      </c>
      <c r="F45" s="8" t="inlineStr">
        <is>
          <t>Estructuras</t>
        </is>
      </c>
      <c r="G45" s="8" t="inlineStr">
        <is>
          <t>AL6005-T5-16</t>
        </is>
      </c>
    </row>
    <row r="46">
      <c r="A46" s="8" t="inlineStr">
        <is>
          <t>S5-CH|6</t>
        </is>
      </c>
      <c r="B46" s="8" t="inlineStr">
        <is>
          <t>S5-CH</t>
        </is>
      </c>
      <c r="C46" s="8" t="inlineStr">
        <is>
          <t>MIBET</t>
        </is>
      </c>
      <c r="D46" s="8" t="n">
        <v>10</v>
      </c>
      <c r="E46" s="9" t="inlineStr">
        <is>
          <t>Pata L para chapa trapezoidal/sinusoidal</t>
        </is>
      </c>
      <c r="F46" s="8" t="inlineStr">
        <is>
          <t>Estructuras</t>
        </is>
      </c>
      <c r="G46" s="8" t="inlineStr">
        <is>
          <t>AL6005-T5-20</t>
        </is>
      </c>
    </row>
    <row r="47">
      <c r="A47" s="8" t="inlineStr">
        <is>
          <t>S5-CH|7</t>
        </is>
      </c>
      <c r="B47" s="8" t="inlineStr">
        <is>
          <t>S5-CH</t>
        </is>
      </c>
      <c r="C47" s="8" t="inlineStr">
        <is>
          <t>MIBET</t>
        </is>
      </c>
      <c r="D47" s="8" t="n">
        <v>5</v>
      </c>
      <c r="E47" s="9" t="inlineStr">
        <is>
          <t>Clip de puesta a tierra (panel-riel)</t>
        </is>
      </c>
      <c r="F47" s="8" t="inlineStr">
        <is>
          <t>Estructuras</t>
        </is>
      </c>
      <c r="G47" s="8" t="inlineStr">
        <is>
          <t>SUS304-4</t>
        </is>
      </c>
    </row>
    <row r="48">
      <c r="A48" s="8" t="inlineStr">
        <is>
          <t>S5-CH|8</t>
        </is>
      </c>
      <c r="B48" s="8" t="inlineStr">
        <is>
          <t>S5-CH</t>
        </is>
      </c>
      <c r="C48" s="8" t="inlineStr">
        <is>
          <t>MIBET</t>
        </is>
      </c>
      <c r="D48" s="8" t="n">
        <v>1</v>
      </c>
      <c r="E48" s="9" t="inlineStr">
        <is>
          <t>Terminal de tierra (riel-cable PE)</t>
        </is>
      </c>
      <c r="F48" s="8" t="inlineStr">
        <is>
          <t>Estructuras</t>
        </is>
      </c>
      <c r="G48" s="8" t="inlineStr">
        <is>
          <t>AL6005-T5-10</t>
        </is>
      </c>
    </row>
    <row r="49">
      <c r="A49" s="8" t="inlineStr">
        <is>
          <t>S5-CH|9</t>
        </is>
      </c>
      <c r="B49" s="8" t="inlineStr">
        <is>
          <t>S5-CH</t>
        </is>
      </c>
      <c r="C49" s="8" t="inlineStr">
        <is>
          <t>MIBET</t>
        </is>
      </c>
      <c r="D49" s="8" t="n">
        <v>5</v>
      </c>
      <c r="E49" s="9" t="inlineStr">
        <is>
          <t>Clip para cable (gestión de cableado)</t>
        </is>
      </c>
      <c r="F49" s="8" t="inlineStr">
        <is>
          <t>Estructuras</t>
        </is>
      </c>
      <c r="G49" s="8" t="inlineStr">
        <is>
          <t>SUS304-6 (CC)</t>
        </is>
      </c>
    </row>
    <row r="50">
      <c r="A50" s="8" t="inlineStr">
        <is>
          <t>S6-CH|1</t>
        </is>
      </c>
      <c r="B50" s="8" t="inlineStr">
        <is>
          <t>S6-CH</t>
        </is>
      </c>
      <c r="C50" s="8" t="inlineStr">
        <is>
          <t>MIBET</t>
        </is>
      </c>
      <c r="D50" s="8" t="n">
        <v>4</v>
      </c>
      <c r="E50" s="9" t="inlineStr">
        <is>
          <t>Riel aluminio 4.8m</t>
        </is>
      </c>
      <c r="F50" s="8" t="inlineStr">
        <is>
          <t>Estructuras</t>
        </is>
      </c>
      <c r="G50" s="8" t="inlineStr">
        <is>
          <t>AL6005-T5-22</t>
        </is>
      </c>
    </row>
    <row r="51">
      <c r="A51" s="8" t="inlineStr">
        <is>
          <t>S6-CH|2</t>
        </is>
      </c>
      <c r="B51" s="8" t="inlineStr">
        <is>
          <t>S6-CH</t>
        </is>
      </c>
      <c r="C51" s="8" t="inlineStr">
        <is>
          <t>MIBET</t>
        </is>
      </c>
      <c r="D51" s="8" t="n">
        <v>2</v>
      </c>
      <c r="E51" s="9" t="inlineStr">
        <is>
          <t>Empalme/unión de rieles</t>
        </is>
      </c>
      <c r="F51" s="8" t="inlineStr">
        <is>
          <t>Estructuras</t>
        </is>
      </c>
      <c r="G51" s="8" t="inlineStr">
        <is>
          <t>AL6005-T5-23</t>
        </is>
      </c>
    </row>
    <row r="52">
      <c r="A52" s="8" t="inlineStr">
        <is>
          <t>S6-CH|3</t>
        </is>
      </c>
      <c r="B52" s="8" t="inlineStr">
        <is>
          <t>S6-CH</t>
        </is>
      </c>
      <c r="C52" s="8" t="inlineStr">
        <is>
          <t>MIBET</t>
        </is>
      </c>
      <c r="D52" s="8" t="n">
        <v>10</v>
      </c>
      <c r="E52" s="9" t="inlineStr">
        <is>
          <t>Prensa intermedia (marco 30/35mm)</t>
        </is>
      </c>
      <c r="F52" s="8" t="inlineStr">
        <is>
          <t>Estructuras</t>
        </is>
      </c>
      <c r="G52" s="8" t="inlineStr">
        <is>
          <t>AL6005-T5-19</t>
        </is>
      </c>
    </row>
    <row r="53">
      <c r="A53" s="8" t="inlineStr">
        <is>
          <t>S6-CH|4</t>
        </is>
      </c>
      <c r="B53" s="8" t="inlineStr">
        <is>
          <t>S6-CH</t>
        </is>
      </c>
      <c r="C53" s="8" t="inlineStr">
        <is>
          <t>MIBET</t>
        </is>
      </c>
      <c r="D53" s="8" t="n">
        <v>4</v>
      </c>
      <c r="E53" s="9" t="inlineStr">
        <is>
          <t>Prensa final (marco 30/35mm)</t>
        </is>
      </c>
      <c r="F53" s="8" t="inlineStr">
        <is>
          <t>Estructuras</t>
        </is>
      </c>
      <c r="G53" s="8" t="inlineStr">
        <is>
          <t>AL6005-T5-16</t>
        </is>
      </c>
    </row>
    <row r="54">
      <c r="A54" s="8" t="inlineStr">
        <is>
          <t>S6-CH|5</t>
        </is>
      </c>
      <c r="B54" s="8" t="inlineStr">
        <is>
          <t>S6-CH</t>
        </is>
      </c>
      <c r="C54" s="8" t="inlineStr">
        <is>
          <t>MIBET</t>
        </is>
      </c>
      <c r="D54" s="8" t="n">
        <v>12</v>
      </c>
      <c r="E54" s="9" t="inlineStr">
        <is>
          <t>Pata L para chapa trapezoidal/sinusoidal</t>
        </is>
      </c>
      <c r="F54" s="8" t="inlineStr">
        <is>
          <t>Estructuras</t>
        </is>
      </c>
      <c r="G54" s="8" t="inlineStr">
        <is>
          <t>AL6005-T5-20</t>
        </is>
      </c>
    </row>
    <row r="55">
      <c r="A55" s="8" t="inlineStr">
        <is>
          <t>S6-CH|6</t>
        </is>
      </c>
      <c r="B55" s="8" t="inlineStr">
        <is>
          <t>S6-CH</t>
        </is>
      </c>
      <c r="C55" s="8" t="inlineStr">
        <is>
          <t>MIBET</t>
        </is>
      </c>
      <c r="D55" s="8" t="n">
        <v>6</v>
      </c>
      <c r="E55" s="9" t="inlineStr">
        <is>
          <t>Clip de puesta a tierra (panel-riel)</t>
        </is>
      </c>
      <c r="F55" s="8" t="inlineStr">
        <is>
          <t>Estructuras</t>
        </is>
      </c>
      <c r="G55" s="8" t="inlineStr">
        <is>
          <t>SUS304-4</t>
        </is>
      </c>
    </row>
    <row r="56">
      <c r="A56" s="8" t="inlineStr">
        <is>
          <t>S6-CH|7</t>
        </is>
      </c>
      <c r="B56" s="8" t="inlineStr">
        <is>
          <t>S6-CH</t>
        </is>
      </c>
      <c r="C56" s="8" t="inlineStr">
        <is>
          <t>MIBET</t>
        </is>
      </c>
      <c r="D56" s="8" t="n">
        <v>1</v>
      </c>
      <c r="E56" s="9" t="inlineStr">
        <is>
          <t>Terminal de tierra (riel-cable PE)</t>
        </is>
      </c>
      <c r="F56" s="8" t="inlineStr">
        <is>
          <t>Estructuras</t>
        </is>
      </c>
      <c r="G56" s="8" t="inlineStr">
        <is>
          <t>AL6005-T5-10</t>
        </is>
      </c>
    </row>
    <row r="57">
      <c r="A57" s="8" t="inlineStr">
        <is>
          <t>S6-CH|8</t>
        </is>
      </c>
      <c r="B57" s="8" t="inlineStr">
        <is>
          <t>S6-CH</t>
        </is>
      </c>
      <c r="C57" s="8" t="inlineStr">
        <is>
          <t>MIBET</t>
        </is>
      </c>
      <c r="D57" s="8" t="n">
        <v>6</v>
      </c>
      <c r="E57" s="9" t="inlineStr">
        <is>
          <t>Clip para cable (gestión de cableado)</t>
        </is>
      </c>
      <c r="F57" s="8" t="inlineStr">
        <is>
          <t>Estructuras</t>
        </is>
      </c>
      <c r="G57" s="8" t="inlineStr">
        <is>
          <t>SUS304-6 (CC)</t>
        </is>
      </c>
    </row>
    <row r="58">
      <c r="A58" s="8" t="inlineStr">
        <is>
          <t>S8-CH|1</t>
        </is>
      </c>
      <c r="B58" s="8" t="inlineStr">
        <is>
          <t>S8-CH</t>
        </is>
      </c>
      <c r="C58" s="8" t="inlineStr">
        <is>
          <t>MIBET</t>
        </is>
      </c>
      <c r="D58" s="8" t="n">
        <v>4</v>
      </c>
      <c r="E58" s="9" t="inlineStr">
        <is>
          <t>Riel aluminio 4.8m</t>
        </is>
      </c>
      <c r="F58" s="8" t="inlineStr">
        <is>
          <t>Estructuras</t>
        </is>
      </c>
      <c r="G58" s="8" t="inlineStr">
        <is>
          <t>AL6005-T5-22</t>
        </is>
      </c>
    </row>
    <row r="59">
      <c r="A59" s="8" t="inlineStr">
        <is>
          <t>S8-CH|2</t>
        </is>
      </c>
      <c r="B59" s="8" t="inlineStr">
        <is>
          <t>S8-CH</t>
        </is>
      </c>
      <c r="C59" s="8" t="inlineStr">
        <is>
          <t>MIBET</t>
        </is>
      </c>
      <c r="D59" s="8" t="n">
        <v>2</v>
      </c>
      <c r="E59" s="9" t="inlineStr">
        <is>
          <t>Riel aluminio 2.4m</t>
        </is>
      </c>
      <c r="F59" s="8" t="inlineStr">
        <is>
          <t>Estructuras</t>
        </is>
      </c>
      <c r="G59" s="8" t="inlineStr">
        <is>
          <t>AL6005-T5-24</t>
        </is>
      </c>
    </row>
    <row r="60">
      <c r="A60" s="8" t="inlineStr">
        <is>
          <t>S8-CH|3</t>
        </is>
      </c>
      <c r="B60" s="8" t="inlineStr">
        <is>
          <t>S8-CH</t>
        </is>
      </c>
      <c r="C60" s="8" t="inlineStr">
        <is>
          <t>MIBET</t>
        </is>
      </c>
      <c r="D60" s="8" t="n">
        <v>4</v>
      </c>
      <c r="E60" s="9" t="inlineStr">
        <is>
          <t>Empalme/unión de rieles</t>
        </is>
      </c>
      <c r="F60" s="8" t="inlineStr">
        <is>
          <t>Estructuras</t>
        </is>
      </c>
      <c r="G60" s="8" t="inlineStr">
        <is>
          <t>AL6005-T5-23</t>
        </is>
      </c>
    </row>
    <row r="61">
      <c r="A61" s="8" t="inlineStr">
        <is>
          <t>S8-CH|4</t>
        </is>
      </c>
      <c r="B61" s="8" t="inlineStr">
        <is>
          <t>S8-CH</t>
        </is>
      </c>
      <c r="C61" s="8" t="inlineStr">
        <is>
          <t>MIBET</t>
        </is>
      </c>
      <c r="D61" s="8" t="n">
        <v>14</v>
      </c>
      <c r="E61" s="9" t="inlineStr">
        <is>
          <t>Prensa intermedia (marco 30/35mm)</t>
        </is>
      </c>
      <c r="F61" s="8" t="inlineStr">
        <is>
          <t>Estructuras</t>
        </is>
      </c>
      <c r="G61" s="8" t="inlineStr">
        <is>
          <t>AL6005-T5-19</t>
        </is>
      </c>
    </row>
    <row r="62">
      <c r="A62" s="8" t="inlineStr">
        <is>
          <t>S8-CH|5</t>
        </is>
      </c>
      <c r="B62" s="8" t="inlineStr">
        <is>
          <t>S8-CH</t>
        </is>
      </c>
      <c r="C62" s="8" t="inlineStr">
        <is>
          <t>MIBET</t>
        </is>
      </c>
      <c r="D62" s="8" t="n">
        <v>4</v>
      </c>
      <c r="E62" s="9" t="inlineStr">
        <is>
          <t>Prensa final (marco 30/35mm)</t>
        </is>
      </c>
      <c r="F62" s="8" t="inlineStr">
        <is>
          <t>Estructuras</t>
        </is>
      </c>
      <c r="G62" s="8" t="inlineStr">
        <is>
          <t>AL6005-T5-16</t>
        </is>
      </c>
    </row>
    <row r="63">
      <c r="A63" s="8" t="inlineStr">
        <is>
          <t>S8-CH|6</t>
        </is>
      </c>
      <c r="B63" s="8" t="inlineStr">
        <is>
          <t>S8-CH</t>
        </is>
      </c>
      <c r="C63" s="8" t="inlineStr">
        <is>
          <t>MIBET</t>
        </is>
      </c>
      <c r="D63" s="8" t="n">
        <v>16</v>
      </c>
      <c r="E63" s="9" t="inlineStr">
        <is>
          <t>Pata L para chapa trapezoidal/sinusoidal</t>
        </is>
      </c>
      <c r="F63" s="8" t="inlineStr">
        <is>
          <t>Estructuras</t>
        </is>
      </c>
      <c r="G63" s="8" t="inlineStr">
        <is>
          <t>AL6005-T5-20</t>
        </is>
      </c>
    </row>
    <row r="64">
      <c r="A64" s="8" t="inlineStr">
        <is>
          <t>S8-CH|7</t>
        </is>
      </c>
      <c r="B64" s="8" t="inlineStr">
        <is>
          <t>S8-CH</t>
        </is>
      </c>
      <c r="C64" s="8" t="inlineStr">
        <is>
          <t>MIBET</t>
        </is>
      </c>
      <c r="D64" s="8" t="n">
        <v>8</v>
      </c>
      <c r="E64" s="9" t="inlineStr">
        <is>
          <t>Clip de puesta a tierra (panel-riel)</t>
        </is>
      </c>
      <c r="F64" s="8" t="inlineStr">
        <is>
          <t>Estructuras</t>
        </is>
      </c>
      <c r="G64" s="8" t="inlineStr">
        <is>
          <t>SUS304-4</t>
        </is>
      </c>
    </row>
    <row r="65">
      <c r="A65" s="8" t="inlineStr">
        <is>
          <t>S8-CH|8</t>
        </is>
      </c>
      <c r="B65" s="8" t="inlineStr">
        <is>
          <t>S8-CH</t>
        </is>
      </c>
      <c r="C65" s="8" t="inlineStr">
        <is>
          <t>MIBET</t>
        </is>
      </c>
      <c r="D65" s="8" t="n">
        <v>1</v>
      </c>
      <c r="E65" s="9" t="inlineStr">
        <is>
          <t>Terminal de tierra (riel-cable PE)</t>
        </is>
      </c>
      <c r="F65" s="8" t="inlineStr">
        <is>
          <t>Estructuras</t>
        </is>
      </c>
      <c r="G65" s="8" t="inlineStr">
        <is>
          <t>AL6005-T5-10</t>
        </is>
      </c>
    </row>
    <row r="66">
      <c r="A66" s="8" t="inlineStr">
        <is>
          <t>S8-CH|9</t>
        </is>
      </c>
      <c r="B66" s="8" t="inlineStr">
        <is>
          <t>S8-CH</t>
        </is>
      </c>
      <c r="C66" s="8" t="inlineStr">
        <is>
          <t>MIBET</t>
        </is>
      </c>
      <c r="D66" s="8" t="n">
        <v>8</v>
      </c>
      <c r="E66" s="9" t="inlineStr">
        <is>
          <t>Clip para cable (gestión de cableado)</t>
        </is>
      </c>
      <c r="F66" s="8" t="inlineStr">
        <is>
          <t>Estructuras</t>
        </is>
      </c>
      <c r="G66" s="8" t="inlineStr">
        <is>
          <t>SUS304-6 (CC)</t>
        </is>
      </c>
    </row>
    <row r="67">
      <c r="A67" s="8" t="inlineStr">
        <is>
          <t>S5-TJ|1</t>
        </is>
      </c>
      <c r="B67" s="8" t="inlineStr">
        <is>
          <t>S5-TJ</t>
        </is>
      </c>
      <c r="C67" s="8" t="inlineStr">
        <is>
          <t>MIBET</t>
        </is>
      </c>
      <c r="D67" s="8" t="n">
        <v>2</v>
      </c>
      <c r="E67" s="9" t="inlineStr">
        <is>
          <t>Riel aluminio 4.8m</t>
        </is>
      </c>
      <c r="F67" s="8" t="inlineStr">
        <is>
          <t>Estructuras</t>
        </is>
      </c>
      <c r="G67" s="8" t="inlineStr">
        <is>
          <t>AL6005-T5-22</t>
        </is>
      </c>
    </row>
    <row r="68">
      <c r="A68" s="8" t="inlineStr">
        <is>
          <t>S5-TJ|2</t>
        </is>
      </c>
      <c r="B68" s="8" t="inlineStr">
        <is>
          <t>S5-TJ</t>
        </is>
      </c>
      <c r="C68" s="8" t="inlineStr">
        <is>
          <t>MIBET</t>
        </is>
      </c>
      <c r="D68" s="8" t="n">
        <v>2</v>
      </c>
      <c r="E68" s="9" t="inlineStr">
        <is>
          <t>Riel aluminio 2.4m</t>
        </is>
      </c>
      <c r="F68" s="8" t="inlineStr">
        <is>
          <t>Estructuras</t>
        </is>
      </c>
      <c r="G68" s="8" t="inlineStr">
        <is>
          <t>AL6005-T5-24</t>
        </is>
      </c>
    </row>
    <row r="69">
      <c r="A69" s="8" t="inlineStr">
        <is>
          <t>S5-TJ|3</t>
        </is>
      </c>
      <c r="B69" s="8" t="inlineStr">
        <is>
          <t>S5-TJ</t>
        </is>
      </c>
      <c r="C69" s="8" t="inlineStr">
        <is>
          <t>MIBET</t>
        </is>
      </c>
      <c r="D69" s="8" t="n">
        <v>2</v>
      </c>
      <c r="E69" s="9" t="inlineStr">
        <is>
          <t>Empalme/unión de rieles</t>
        </is>
      </c>
      <c r="F69" s="8" t="inlineStr">
        <is>
          <t>Estructuras</t>
        </is>
      </c>
      <c r="G69" s="8" t="inlineStr">
        <is>
          <t>AL6005-T5-23</t>
        </is>
      </c>
    </row>
    <row r="70">
      <c r="A70" s="8" t="inlineStr">
        <is>
          <t>S5-TJ|4</t>
        </is>
      </c>
      <c r="B70" s="8" t="inlineStr">
        <is>
          <t>S5-TJ</t>
        </is>
      </c>
      <c r="C70" s="8" t="inlineStr">
        <is>
          <t>MIBET</t>
        </is>
      </c>
      <c r="D70" s="8" t="n">
        <v>8</v>
      </c>
      <c r="E70" s="9" t="inlineStr">
        <is>
          <t>Prensa intermedia (marco 30/35mm)</t>
        </is>
      </c>
      <c r="F70" s="8" t="inlineStr">
        <is>
          <t>Estructuras</t>
        </is>
      </c>
      <c r="G70" s="8" t="inlineStr">
        <is>
          <t>AL6005-T5-19</t>
        </is>
      </c>
    </row>
    <row r="71">
      <c r="A71" s="8" t="inlineStr">
        <is>
          <t>S5-TJ|5</t>
        </is>
      </c>
      <c r="B71" s="8" t="inlineStr">
        <is>
          <t>S5-TJ</t>
        </is>
      </c>
      <c r="C71" s="8" t="inlineStr">
        <is>
          <t>MIBET</t>
        </is>
      </c>
      <c r="D71" s="8" t="n">
        <v>4</v>
      </c>
      <c r="E71" s="9" t="inlineStr">
        <is>
          <t>Prensa final (marco 30/35mm)</t>
        </is>
      </c>
      <c r="F71" s="8" t="inlineStr">
        <is>
          <t>Estructuras</t>
        </is>
      </c>
      <c r="G71" s="8" t="inlineStr">
        <is>
          <t>AL6005-T5-16</t>
        </is>
      </c>
    </row>
    <row r="72">
      <c r="A72" s="8" t="inlineStr">
        <is>
          <t>S5-TJ|6</t>
        </is>
      </c>
      <c r="B72" s="8" t="inlineStr">
        <is>
          <t>S5-TJ</t>
        </is>
      </c>
      <c r="C72" s="8" t="inlineStr">
        <is>
          <t>MIBET</t>
        </is>
      </c>
      <c r="D72" s="8" t="n">
        <v>10</v>
      </c>
      <c r="E72" s="9" t="inlineStr">
        <is>
          <t>Gancho para teja</t>
        </is>
      </c>
      <c r="F72" s="8" t="inlineStr">
        <is>
          <t>Estructuras</t>
        </is>
      </c>
      <c r="G72" s="8" t="inlineStr">
        <is>
          <t>SUS304-7</t>
        </is>
      </c>
    </row>
    <row r="73">
      <c r="A73" s="8" t="inlineStr">
        <is>
          <t>S5-TJ|7</t>
        </is>
      </c>
      <c r="B73" s="8" t="inlineStr">
        <is>
          <t>S5-TJ</t>
        </is>
      </c>
      <c r="C73" s="8" t="inlineStr">
        <is>
          <t>MIBET</t>
        </is>
      </c>
      <c r="D73" s="8" t="n">
        <v>5</v>
      </c>
      <c r="E73" s="9" t="inlineStr">
        <is>
          <t>Clip de puesta a tierra (panel-riel)</t>
        </is>
      </c>
      <c r="F73" s="8" t="inlineStr">
        <is>
          <t>Estructuras</t>
        </is>
      </c>
      <c r="G73" s="8" t="inlineStr">
        <is>
          <t>SUS304-4</t>
        </is>
      </c>
    </row>
    <row r="74">
      <c r="A74" s="8" t="inlineStr">
        <is>
          <t>S5-TJ|8</t>
        </is>
      </c>
      <c r="B74" s="8" t="inlineStr">
        <is>
          <t>S5-TJ</t>
        </is>
      </c>
      <c r="C74" s="8" t="inlineStr">
        <is>
          <t>MIBET</t>
        </is>
      </c>
      <c r="D74" s="8" t="n">
        <v>1</v>
      </c>
      <c r="E74" s="9" t="inlineStr">
        <is>
          <t>Terminal de tierra (riel-cable PE)</t>
        </is>
      </c>
      <c r="F74" s="8" t="inlineStr">
        <is>
          <t>Estructuras</t>
        </is>
      </c>
      <c r="G74" s="8" t="inlineStr">
        <is>
          <t>AL6005-T5-10</t>
        </is>
      </c>
    </row>
    <row r="75">
      <c r="A75" s="8" t="inlineStr">
        <is>
          <t>S5-TJ|9</t>
        </is>
      </c>
      <c r="B75" s="8" t="inlineStr">
        <is>
          <t>S5-TJ</t>
        </is>
      </c>
      <c r="C75" s="8" t="inlineStr">
        <is>
          <t>MIBET</t>
        </is>
      </c>
      <c r="D75" s="8" t="n">
        <v>5</v>
      </c>
      <c r="E75" s="9" t="inlineStr">
        <is>
          <t>Clip para cable (gestión de cableado)</t>
        </is>
      </c>
      <c r="F75" s="8" t="inlineStr">
        <is>
          <t>Estructuras</t>
        </is>
      </c>
      <c r="G75" s="8" t="inlineStr">
        <is>
          <t>SUS304-6 (CC)</t>
        </is>
      </c>
    </row>
    <row r="76">
      <c r="A76" s="8" t="inlineStr">
        <is>
          <t>S6-TJ|1</t>
        </is>
      </c>
      <c r="B76" s="8" t="inlineStr">
        <is>
          <t>S6-TJ</t>
        </is>
      </c>
      <c r="C76" s="8" t="inlineStr">
        <is>
          <t>MIBET</t>
        </is>
      </c>
      <c r="D76" s="8" t="n">
        <v>4</v>
      </c>
      <c r="E76" s="9" t="inlineStr">
        <is>
          <t>Riel aluminio 4.8m</t>
        </is>
      </c>
      <c r="F76" s="8" t="inlineStr">
        <is>
          <t>Estructuras</t>
        </is>
      </c>
      <c r="G76" s="8" t="inlineStr">
        <is>
          <t>AL6005-T5-22</t>
        </is>
      </c>
    </row>
    <row r="77">
      <c r="A77" s="8" t="inlineStr">
        <is>
          <t>S6-TJ|2</t>
        </is>
      </c>
      <c r="B77" s="8" t="inlineStr">
        <is>
          <t>S6-TJ</t>
        </is>
      </c>
      <c r="C77" s="8" t="inlineStr">
        <is>
          <t>MIBET</t>
        </is>
      </c>
      <c r="D77" s="8" t="n">
        <v>2</v>
      </c>
      <c r="E77" s="9" t="inlineStr">
        <is>
          <t>Empalme/unión de rieles</t>
        </is>
      </c>
      <c r="F77" s="8" t="inlineStr">
        <is>
          <t>Estructuras</t>
        </is>
      </c>
      <c r="G77" s="8" t="inlineStr">
        <is>
          <t>AL6005-T5-23</t>
        </is>
      </c>
    </row>
    <row r="78">
      <c r="A78" s="8" t="inlineStr">
        <is>
          <t>S6-TJ|3</t>
        </is>
      </c>
      <c r="B78" s="8" t="inlineStr">
        <is>
          <t>S6-TJ</t>
        </is>
      </c>
      <c r="C78" s="8" t="inlineStr">
        <is>
          <t>MIBET</t>
        </is>
      </c>
      <c r="D78" s="8" t="n">
        <v>10</v>
      </c>
      <c r="E78" s="9" t="inlineStr">
        <is>
          <t>Prensa intermedia (marco 30/35mm)</t>
        </is>
      </c>
      <c r="F78" s="8" t="inlineStr">
        <is>
          <t>Estructuras</t>
        </is>
      </c>
      <c r="G78" s="8" t="inlineStr">
        <is>
          <t>AL6005-T5-19</t>
        </is>
      </c>
    </row>
    <row r="79">
      <c r="A79" s="8" t="inlineStr">
        <is>
          <t>S6-TJ|4</t>
        </is>
      </c>
      <c r="B79" s="8" t="inlineStr">
        <is>
          <t>S6-TJ</t>
        </is>
      </c>
      <c r="C79" s="8" t="inlineStr">
        <is>
          <t>MIBET</t>
        </is>
      </c>
      <c r="D79" s="8" t="n">
        <v>4</v>
      </c>
      <c r="E79" s="9" t="inlineStr">
        <is>
          <t>Prensa final (marco 30/35mm)</t>
        </is>
      </c>
      <c r="F79" s="8" t="inlineStr">
        <is>
          <t>Estructuras</t>
        </is>
      </c>
      <c r="G79" s="8" t="inlineStr">
        <is>
          <t>AL6005-T5-16</t>
        </is>
      </c>
    </row>
    <row r="80">
      <c r="A80" s="8" t="inlineStr">
        <is>
          <t>S6-TJ|5</t>
        </is>
      </c>
      <c r="B80" s="8" t="inlineStr">
        <is>
          <t>S6-TJ</t>
        </is>
      </c>
      <c r="C80" s="8" t="inlineStr">
        <is>
          <t>MIBET</t>
        </is>
      </c>
      <c r="D80" s="8" t="n">
        <v>12</v>
      </c>
      <c r="E80" s="9" t="inlineStr">
        <is>
          <t>Gancho para teja</t>
        </is>
      </c>
      <c r="F80" s="8" t="inlineStr">
        <is>
          <t>Estructuras</t>
        </is>
      </c>
      <c r="G80" s="8" t="inlineStr">
        <is>
          <t>SUS304-7</t>
        </is>
      </c>
    </row>
    <row r="81">
      <c r="A81" s="8" t="inlineStr">
        <is>
          <t>S6-TJ|6</t>
        </is>
      </c>
      <c r="B81" s="8" t="inlineStr">
        <is>
          <t>S6-TJ</t>
        </is>
      </c>
      <c r="C81" s="8" t="inlineStr">
        <is>
          <t>MIBET</t>
        </is>
      </c>
      <c r="D81" s="8" t="n">
        <v>6</v>
      </c>
      <c r="E81" s="9" t="inlineStr">
        <is>
          <t>Clip de puesta a tierra (panel-riel)</t>
        </is>
      </c>
      <c r="F81" s="8" t="inlineStr">
        <is>
          <t>Estructuras</t>
        </is>
      </c>
      <c r="G81" s="8" t="inlineStr">
        <is>
          <t>SUS304-4</t>
        </is>
      </c>
    </row>
    <row r="82">
      <c r="A82" s="8" t="inlineStr">
        <is>
          <t>S6-TJ|7</t>
        </is>
      </c>
      <c r="B82" s="8" t="inlineStr">
        <is>
          <t>S6-TJ</t>
        </is>
      </c>
      <c r="C82" s="8" t="inlineStr">
        <is>
          <t>MIBET</t>
        </is>
      </c>
      <c r="D82" s="8" t="n">
        <v>1</v>
      </c>
      <c r="E82" s="9" t="inlineStr">
        <is>
          <t>Terminal de tierra (riel-cable PE)</t>
        </is>
      </c>
      <c r="F82" s="8" t="inlineStr">
        <is>
          <t>Estructuras</t>
        </is>
      </c>
      <c r="G82" s="8" t="inlineStr">
        <is>
          <t>AL6005-T5-10</t>
        </is>
      </c>
    </row>
    <row r="83">
      <c r="A83" s="8" t="inlineStr">
        <is>
          <t>S6-TJ|8</t>
        </is>
      </c>
      <c r="B83" s="8" t="inlineStr">
        <is>
          <t>S6-TJ</t>
        </is>
      </c>
      <c r="C83" s="8" t="inlineStr">
        <is>
          <t>MIBET</t>
        </is>
      </c>
      <c r="D83" s="8" t="n">
        <v>6</v>
      </c>
      <c r="E83" s="9" t="inlineStr">
        <is>
          <t>Clip para cable (gestión de cableado)</t>
        </is>
      </c>
      <c r="F83" s="8" t="inlineStr">
        <is>
          <t>Estructuras</t>
        </is>
      </c>
      <c r="G83" s="8" t="inlineStr">
        <is>
          <t>SUS304-6 (CC)</t>
        </is>
      </c>
    </row>
    <row r="84">
      <c r="A84" s="8" t="inlineStr">
        <is>
          <t>S8-TJ|1</t>
        </is>
      </c>
      <c r="B84" s="8" t="inlineStr">
        <is>
          <t>S8-TJ</t>
        </is>
      </c>
      <c r="C84" s="8" t="inlineStr">
        <is>
          <t>MIBET</t>
        </is>
      </c>
      <c r="D84" s="8" t="n">
        <v>4</v>
      </c>
      <c r="E84" s="9" t="inlineStr">
        <is>
          <t>Riel aluminio 4.8m</t>
        </is>
      </c>
      <c r="F84" s="8" t="inlineStr">
        <is>
          <t>Estructuras</t>
        </is>
      </c>
      <c r="G84" s="8" t="inlineStr">
        <is>
          <t>AL6005-T5-22</t>
        </is>
      </c>
    </row>
    <row r="85">
      <c r="A85" s="8" t="inlineStr">
        <is>
          <t>S8-TJ|2</t>
        </is>
      </c>
      <c r="B85" s="8" t="inlineStr">
        <is>
          <t>S8-TJ</t>
        </is>
      </c>
      <c r="C85" s="8" t="inlineStr">
        <is>
          <t>MIBET</t>
        </is>
      </c>
      <c r="D85" s="8" t="n">
        <v>2</v>
      </c>
      <c r="E85" s="9" t="inlineStr">
        <is>
          <t>Riel aluminio 2.4m</t>
        </is>
      </c>
      <c r="F85" s="8" t="inlineStr">
        <is>
          <t>Estructuras</t>
        </is>
      </c>
      <c r="G85" s="8" t="inlineStr">
        <is>
          <t>AL6005-T5-24</t>
        </is>
      </c>
    </row>
    <row r="86">
      <c r="A86" s="8" t="inlineStr">
        <is>
          <t>S8-TJ|3</t>
        </is>
      </c>
      <c r="B86" s="8" t="inlineStr">
        <is>
          <t>S8-TJ</t>
        </is>
      </c>
      <c r="C86" s="8" t="inlineStr">
        <is>
          <t>MIBET</t>
        </is>
      </c>
      <c r="D86" s="8" t="n">
        <v>4</v>
      </c>
      <c r="E86" s="9" t="inlineStr">
        <is>
          <t>Empalme/unión de rieles</t>
        </is>
      </c>
      <c r="F86" s="8" t="inlineStr">
        <is>
          <t>Estructuras</t>
        </is>
      </c>
      <c r="G86" s="8" t="inlineStr">
        <is>
          <t>AL6005-T5-23</t>
        </is>
      </c>
    </row>
    <row r="87">
      <c r="A87" s="8" t="inlineStr">
        <is>
          <t>S8-TJ|4</t>
        </is>
      </c>
      <c r="B87" s="8" t="inlineStr">
        <is>
          <t>S8-TJ</t>
        </is>
      </c>
      <c r="C87" s="8" t="inlineStr">
        <is>
          <t>MIBET</t>
        </is>
      </c>
      <c r="D87" s="8" t="n">
        <v>14</v>
      </c>
      <c r="E87" s="9" t="inlineStr">
        <is>
          <t>Prensa intermedia (marco 30/35mm)</t>
        </is>
      </c>
      <c r="F87" s="8" t="inlineStr">
        <is>
          <t>Estructuras</t>
        </is>
      </c>
      <c r="G87" s="8" t="inlineStr">
        <is>
          <t>AL6005-T5-19</t>
        </is>
      </c>
    </row>
    <row r="88">
      <c r="A88" s="8" t="inlineStr">
        <is>
          <t>S8-TJ|5</t>
        </is>
      </c>
      <c r="B88" s="8" t="inlineStr">
        <is>
          <t>S8-TJ</t>
        </is>
      </c>
      <c r="C88" s="8" t="inlineStr">
        <is>
          <t>MIBET</t>
        </is>
      </c>
      <c r="D88" s="8" t="n">
        <v>4</v>
      </c>
      <c r="E88" s="9" t="inlineStr">
        <is>
          <t>Prensa final (marco 30/35mm)</t>
        </is>
      </c>
      <c r="F88" s="8" t="inlineStr">
        <is>
          <t>Estructuras</t>
        </is>
      </c>
      <c r="G88" s="8" t="inlineStr">
        <is>
          <t>AL6005-T5-16</t>
        </is>
      </c>
    </row>
    <row r="89">
      <c r="A89" s="8" t="inlineStr">
        <is>
          <t>S8-TJ|6</t>
        </is>
      </c>
      <c r="B89" s="8" t="inlineStr">
        <is>
          <t>S8-TJ</t>
        </is>
      </c>
      <c r="C89" s="8" t="inlineStr">
        <is>
          <t>MIBET</t>
        </is>
      </c>
      <c r="D89" s="8" t="n">
        <v>16</v>
      </c>
      <c r="E89" s="9" t="inlineStr">
        <is>
          <t>Gancho para teja</t>
        </is>
      </c>
      <c r="F89" s="8" t="inlineStr">
        <is>
          <t>Estructuras</t>
        </is>
      </c>
      <c r="G89" s="8" t="inlineStr">
        <is>
          <t>SUS304-7</t>
        </is>
      </c>
    </row>
    <row r="90">
      <c r="A90" s="8" t="inlineStr">
        <is>
          <t>S8-TJ|7</t>
        </is>
      </c>
      <c r="B90" s="8" t="inlineStr">
        <is>
          <t>S8-TJ</t>
        </is>
      </c>
      <c r="C90" s="8" t="inlineStr">
        <is>
          <t>MIBET</t>
        </is>
      </c>
      <c r="D90" s="8" t="n">
        <v>8</v>
      </c>
      <c r="E90" s="9" t="inlineStr">
        <is>
          <t>Clip de puesta a tierra (panel-riel)</t>
        </is>
      </c>
      <c r="F90" s="8" t="inlineStr">
        <is>
          <t>Estructuras</t>
        </is>
      </c>
      <c r="G90" s="8" t="inlineStr">
        <is>
          <t>SUS304-4</t>
        </is>
      </c>
    </row>
    <row r="91">
      <c r="A91" s="8" t="inlineStr">
        <is>
          <t>S8-TJ|8</t>
        </is>
      </c>
      <c r="B91" s="8" t="inlineStr">
        <is>
          <t>S8-TJ</t>
        </is>
      </c>
      <c r="C91" s="8" t="inlineStr">
        <is>
          <t>MIBET</t>
        </is>
      </c>
      <c r="D91" s="8" t="n">
        <v>1</v>
      </c>
      <c r="E91" s="9" t="inlineStr">
        <is>
          <t>Terminal de tierra (riel-cable PE)</t>
        </is>
      </c>
      <c r="F91" s="8" t="inlineStr">
        <is>
          <t>Estructuras</t>
        </is>
      </c>
      <c r="G91" s="8" t="inlineStr">
        <is>
          <t>AL6005-T5-10</t>
        </is>
      </c>
    </row>
    <row r="92">
      <c r="A92" s="8" t="inlineStr">
        <is>
          <t>S8-TJ|9</t>
        </is>
      </c>
      <c r="B92" s="8" t="inlineStr">
        <is>
          <t>S8-TJ</t>
        </is>
      </c>
      <c r="C92" s="8" t="inlineStr">
        <is>
          <t>MIBET</t>
        </is>
      </c>
      <c r="D92" s="8" t="n">
        <v>8</v>
      </c>
      <c r="E92" s="9" t="inlineStr">
        <is>
          <t>Clip para cable (gestión de cableado)</t>
        </is>
      </c>
      <c r="F92" s="8" t="inlineStr">
        <is>
          <t>Estructuras</t>
        </is>
      </c>
      <c r="G92" s="8" t="inlineStr">
        <is>
          <t>SUS304-6 (CC)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60" customWidth="1" min="4" max="4"/>
  </cols>
  <sheetData>
    <row r="1">
      <c r="A1" s="12" t="inlineStr">
        <is>
          <t>Categoría</t>
        </is>
      </c>
      <c r="B1" s="12" t="inlineStr">
        <is>
          <t>Marca</t>
        </is>
      </c>
      <c r="C1" s="12" t="inlineStr">
        <is>
          <t>Código (SKU)</t>
        </is>
      </c>
      <c r="D1" s="12" t="inlineStr">
        <is>
          <t>Descripción del Componente</t>
        </is>
      </c>
    </row>
    <row r="2">
      <c r="A2" s="8" t="inlineStr">
        <is>
          <t>Paneles FV</t>
        </is>
      </c>
      <c r="B2" s="8" t="inlineStr">
        <is>
          <t>TCL SOLAR</t>
        </is>
      </c>
      <c r="C2" s="8" t="inlineStr">
        <is>
          <t>TCL-MI585DH182-72NT</t>
        </is>
      </c>
      <c r="D2" s="9" t="inlineStr">
        <is>
          <t>Módulo Fotovoltaico TOPCon Bifacial 585w</t>
        </is>
      </c>
    </row>
    <row r="3">
      <c r="A3" s="8" t="inlineStr">
        <is>
          <t>Inverters</t>
        </is>
      </c>
      <c r="B3" s="8" t="inlineStr">
        <is>
          <t>GOODWE</t>
        </is>
      </c>
      <c r="C3" s="8" t="inlineStr">
        <is>
          <t>GW3000-XS-30</t>
        </is>
      </c>
      <c r="D3" s="9" t="inlineStr">
        <is>
          <t>Inversor Monofásico ON-GRID 3 kW</t>
        </is>
      </c>
    </row>
    <row r="4">
      <c r="A4" s="8" t="inlineStr">
        <is>
          <t>Inverters</t>
        </is>
      </c>
      <c r="B4" s="8" t="inlineStr">
        <is>
          <t>GOODWE</t>
        </is>
      </c>
      <c r="C4" s="8" t="inlineStr">
        <is>
          <t>GW3000-ES-20</t>
        </is>
      </c>
      <c r="D4" s="9" t="inlineStr">
        <is>
          <t>Inversor Monofásico HIBRIDO 3 kW</t>
        </is>
      </c>
    </row>
    <row r="5">
      <c r="A5" s="8" t="inlineStr">
        <is>
          <t>Inverters</t>
        </is>
      </c>
      <c r="B5" s="8" t="inlineStr">
        <is>
          <t>GOODWE</t>
        </is>
      </c>
      <c r="C5" s="8" t="inlineStr">
        <is>
          <t>GW5000-MS-30</t>
        </is>
      </c>
      <c r="D5" s="9" t="inlineStr">
        <is>
          <t>Inversor Monofásico ON-GRID 5 kW</t>
        </is>
      </c>
    </row>
    <row r="6">
      <c r="A6" s="8" t="inlineStr">
        <is>
          <t>Inverters</t>
        </is>
      </c>
      <c r="B6" s="8" t="inlineStr">
        <is>
          <t>GOODWE</t>
        </is>
      </c>
      <c r="C6" s="8" t="inlineStr">
        <is>
          <t>GW5000-ES-20</t>
        </is>
      </c>
      <c r="D6" s="9" t="inlineStr">
        <is>
          <t>Inversor Monofásico HIBRIDO 5 kW</t>
        </is>
      </c>
    </row>
    <row r="7">
      <c r="A7" s="8" t="inlineStr">
        <is>
          <t>Inverters</t>
        </is>
      </c>
      <c r="B7" s="8" t="inlineStr">
        <is>
          <t>GOODWE</t>
        </is>
      </c>
      <c r="C7" s="8" t="inlineStr">
        <is>
          <t>GW6000-MS-30</t>
        </is>
      </c>
      <c r="D7" s="9" t="inlineStr">
        <is>
          <t>Inversor Monofásico ON-GRID 6 kW</t>
        </is>
      </c>
    </row>
    <row r="8">
      <c r="A8" s="8" t="inlineStr">
        <is>
          <t>Inverters</t>
        </is>
      </c>
      <c r="B8" s="8" t="inlineStr">
        <is>
          <t>GOODWE</t>
        </is>
      </c>
      <c r="C8" s="8" t="inlineStr">
        <is>
          <t>GW8000-SDT-30</t>
        </is>
      </c>
      <c r="D8" s="9" t="inlineStr">
        <is>
          <t>Inversor Trifásico ON-GRID 8 kW</t>
        </is>
      </c>
    </row>
    <row r="9">
      <c r="A9" s="8" t="inlineStr">
        <is>
          <t>Inverters</t>
        </is>
      </c>
      <c r="B9" s="8" t="inlineStr">
        <is>
          <t>GOODWE</t>
        </is>
      </c>
      <c r="C9" s="8" t="inlineStr">
        <is>
          <t>GW8000-ET-20</t>
        </is>
      </c>
      <c r="D9" s="9" t="inlineStr">
        <is>
          <t>Inversor Trifásico HIBRIDO 8 kW</t>
        </is>
      </c>
    </row>
    <row r="10">
      <c r="A10" s="8" t="inlineStr">
        <is>
          <t>Inverters</t>
        </is>
      </c>
      <c r="B10" s="8" t="inlineStr">
        <is>
          <t>GOODWE</t>
        </is>
      </c>
      <c r="C10" s="8" t="inlineStr">
        <is>
          <t>GW10K-ET-20</t>
        </is>
      </c>
      <c r="D10" s="9" t="inlineStr">
        <is>
          <t>Inversor Trifásico HIBRIDO 10 kW</t>
        </is>
      </c>
    </row>
    <row r="11">
      <c r="A11" s="8" t="inlineStr">
        <is>
          <t>Inverters</t>
        </is>
      </c>
      <c r="B11" s="8" t="inlineStr">
        <is>
          <t>GOODWE</t>
        </is>
      </c>
      <c r="C11" s="8" t="inlineStr">
        <is>
          <t>GW12K-SDT-30</t>
        </is>
      </c>
      <c r="D11" s="9" t="inlineStr">
        <is>
          <t>Inversor Trifásico ON-GRID 12 kW</t>
        </is>
      </c>
    </row>
    <row r="12">
      <c r="A12" s="8" t="inlineStr">
        <is>
          <t>Inverters</t>
        </is>
      </c>
      <c r="B12" s="8" t="inlineStr">
        <is>
          <t>GOODWE</t>
        </is>
      </c>
      <c r="C12" s="8" t="inlineStr">
        <is>
          <t>GW12K-ET-20</t>
        </is>
      </c>
      <c r="D12" s="9" t="inlineStr">
        <is>
          <t>Inversor Trifásico HIBRIDO 12 kW</t>
        </is>
      </c>
    </row>
    <row r="13">
      <c r="A13" s="8" t="inlineStr">
        <is>
          <t>Inverters</t>
        </is>
      </c>
      <c r="B13" s="8" t="inlineStr">
        <is>
          <t>GOODWE</t>
        </is>
      </c>
      <c r="C13" s="8" t="inlineStr">
        <is>
          <t>GW15K-ET-20</t>
        </is>
      </c>
      <c r="D13" s="9" t="inlineStr">
        <is>
          <t>Inversor Trifásico HIBRIDO 15 kW</t>
        </is>
      </c>
    </row>
    <row r="14">
      <c r="A14" s="8" t="inlineStr">
        <is>
          <t>Inverters</t>
        </is>
      </c>
      <c r="B14" s="8" t="inlineStr">
        <is>
          <t>GOODWE</t>
        </is>
      </c>
      <c r="C14" s="8" t="inlineStr">
        <is>
          <t>GW20K-SDT-30</t>
        </is>
      </c>
      <c r="D14" s="9" t="inlineStr">
        <is>
          <t>Inversor Trifásico ON-GRID 20 kW</t>
        </is>
      </c>
    </row>
    <row r="15">
      <c r="A15" s="8" t="inlineStr">
        <is>
          <t>Baterías</t>
        </is>
      </c>
      <c r="B15" s="8" t="inlineStr">
        <is>
          <t>GOODWE</t>
        </is>
      </c>
      <c r="C15" s="8" t="inlineStr">
        <is>
          <t>LX U5.0-30</t>
        </is>
      </c>
      <c r="D15" s="9" t="inlineStr">
        <is>
          <t>Batería 5kWh - 48V (with fire suppression)</t>
        </is>
      </c>
    </row>
    <row r="16">
      <c r="A16" s="8" t="inlineStr">
        <is>
          <t>Baterías</t>
        </is>
      </c>
      <c r="B16" s="8" t="inlineStr">
        <is>
          <t>GOODWE</t>
        </is>
      </c>
      <c r="C16" s="8" t="inlineStr">
        <is>
          <t>LX D5.0-10</t>
        </is>
      </c>
      <c r="D16" s="9" t="inlineStr">
        <is>
          <t>Batería Apilable 5kWh - HV</t>
        </is>
      </c>
    </row>
    <row r="17">
      <c r="A17" s="8" t="inlineStr">
        <is>
          <t>Accesorios</t>
        </is>
      </c>
      <c r="B17" s="8" t="inlineStr">
        <is>
          <t>GOODWE</t>
        </is>
      </c>
      <c r="C17" s="8" t="inlineStr">
        <is>
          <t>GMK110</t>
        </is>
      </c>
      <c r="D17" s="9" t="inlineStr">
        <is>
          <t>Smart Energy Controller Monofásico</t>
        </is>
      </c>
    </row>
    <row r="18">
      <c r="A18" s="8" t="inlineStr">
        <is>
          <t>Accesorios</t>
        </is>
      </c>
      <c r="B18" s="8" t="inlineStr">
        <is>
          <t>GOODWE</t>
        </is>
      </c>
      <c r="C18" s="8" t="inlineStr">
        <is>
          <t>GMK330</t>
        </is>
      </c>
      <c r="D18" s="9" t="inlineStr">
        <is>
          <t>Smart Energy Controller Trifásico</t>
        </is>
      </c>
    </row>
    <row r="19">
      <c r="A19" s="8" t="inlineStr">
        <is>
          <t>Accesorios</t>
        </is>
      </c>
      <c r="B19" s="8" t="inlineStr">
        <is>
          <t>GOODWE</t>
        </is>
      </c>
      <c r="C19" s="8" t="inlineStr">
        <is>
          <t>Hanger assembly for Lynx D</t>
        </is>
      </c>
      <c r="D19" s="9" t="inlineStr">
        <is>
          <t>Soporte batería Lynx D para pared</t>
        </is>
      </c>
    </row>
    <row r="20">
      <c r="A20" s="8" t="inlineStr">
        <is>
          <t>Accesorios</t>
        </is>
      </c>
      <c r="B20" s="8" t="inlineStr">
        <is>
          <t>GOODWE</t>
        </is>
      </c>
      <c r="C20" s="8" t="inlineStr">
        <is>
          <t>Base assembly for Lynx D</t>
        </is>
      </c>
      <c r="D20" s="9" t="inlineStr">
        <is>
          <t>Base batería Lynx D para suelo</t>
        </is>
      </c>
    </row>
    <row r="21">
      <c r="A21" s="8" t="inlineStr">
        <is>
          <t>Estructuras</t>
        </is>
      </c>
      <c r="B21" s="8" t="inlineStr">
        <is>
          <t>SOLARMET</t>
        </is>
      </c>
      <c r="C21" s="8" t="inlineStr">
        <is>
          <t>NESTMNR050</t>
        </is>
      </c>
      <c r="D21" s="9" t="inlineStr">
        <is>
          <t>MiniMET 0.5m Mini Riel Solarmet</t>
        </is>
      </c>
    </row>
    <row r="22">
      <c r="A22" s="8" t="inlineStr">
        <is>
          <t>Estructuras</t>
        </is>
      </c>
      <c r="B22" s="8" t="inlineStr">
        <is>
          <t>SOLARMET</t>
        </is>
      </c>
      <c r="C22" s="8" t="inlineStr">
        <is>
          <t>NESTSKITAL</t>
        </is>
      </c>
      <c r="D22" s="9" t="inlineStr">
        <is>
          <t>Kit Anclajes Laterales</t>
        </is>
      </c>
    </row>
    <row r="23">
      <c r="A23" s="8" t="inlineStr">
        <is>
          <t>Estructuras</t>
        </is>
      </c>
      <c r="B23" s="8" t="inlineStr">
        <is>
          <t>SOLARMET</t>
        </is>
      </c>
      <c r="C23" s="8" t="inlineStr">
        <is>
          <t>NESTSKITM4</t>
        </is>
      </c>
      <c r="D23" s="9" t="inlineStr">
        <is>
          <t>Kit Anclajes Medios - 4 Paneles</t>
        </is>
      </c>
    </row>
    <row r="24">
      <c r="A24" s="8" t="inlineStr">
        <is>
          <t>Estructuras</t>
        </is>
      </c>
      <c r="B24" s="8" t="inlineStr">
        <is>
          <t>SOLARMET</t>
        </is>
      </c>
      <c r="C24" s="8" t="inlineStr">
        <is>
          <t>NESTSCO35D</t>
        </is>
      </c>
      <c r="D24" s="9" t="inlineStr">
        <is>
          <t>Perfil CODA N2 (3.55m)</t>
        </is>
      </c>
    </row>
    <row r="25">
      <c r="A25" s="8" t="inlineStr">
        <is>
          <t>Estructuras</t>
        </is>
      </c>
      <c r="B25" s="8" t="inlineStr">
        <is>
          <t>SOLARMET</t>
        </is>
      </c>
      <c r="C25" s="8" t="inlineStr">
        <is>
          <t>NESTSTEJA1</t>
        </is>
      </c>
      <c r="D25" s="9" t="inlineStr">
        <is>
          <t>Anclaje Teja V2</t>
        </is>
      </c>
    </row>
    <row r="26">
      <c r="A26" s="8" t="inlineStr">
        <is>
          <t>Estructuras</t>
        </is>
      </c>
      <c r="B26" s="8" t="inlineStr">
        <is>
          <t>SOLARMET</t>
        </is>
      </c>
      <c r="C26" s="8" t="inlineStr">
        <is>
          <t>NESTSKITCX</t>
        </is>
      </c>
      <c r="D26" s="9" t="inlineStr">
        <is>
          <t>Kit Conexion CODA N2</t>
        </is>
      </c>
    </row>
    <row r="27">
      <c r="A27" s="8" t="inlineStr">
        <is>
          <t>Estructuras</t>
        </is>
      </c>
      <c r="B27" s="8" t="inlineStr">
        <is>
          <t>SOLARMET</t>
        </is>
      </c>
      <c r="C27" s="8" t="inlineStr">
        <is>
          <t>IESTSCO47D</t>
        </is>
      </c>
      <c r="D27" s="9" t="inlineStr">
        <is>
          <t>Perfil CODA N2 (4.75m) V2</t>
        </is>
      </c>
    </row>
    <row r="28">
      <c r="A28" s="8" t="inlineStr">
        <is>
          <t>Estructuras</t>
        </is>
      </c>
      <c r="B28" s="8" t="inlineStr">
        <is>
          <t>SOLARMET</t>
        </is>
      </c>
      <c r="C28" s="8" t="inlineStr">
        <is>
          <t>NESTSTRIAN</t>
        </is>
      </c>
      <c r="D28" s="9" t="inlineStr">
        <is>
          <t>Triangulo Aluminio Regulable</t>
        </is>
      </c>
    </row>
    <row r="29">
      <c r="A29" s="8" t="inlineStr">
        <is>
          <t>Cables</t>
        </is>
      </c>
      <c r="B29" s="8" t="inlineStr">
        <is>
          <t>GENERICO</t>
        </is>
      </c>
      <c r="C29" s="8" t="inlineStr">
        <is>
          <t>-</t>
        </is>
      </c>
      <c r="D29" s="9" t="inlineStr">
        <is>
          <t>Par Conector Macho-Hembra MC4</t>
        </is>
      </c>
    </row>
    <row r="30">
      <c r="A30" s="8" t="inlineStr">
        <is>
          <t>Cables</t>
        </is>
      </c>
      <c r="B30" s="8" t="inlineStr">
        <is>
          <t>GENERICO</t>
        </is>
      </c>
      <c r="C30" s="8" t="inlineStr">
        <is>
          <t>-</t>
        </is>
      </c>
      <c r="D30" s="9" t="inlineStr">
        <is>
          <t>Cable solar x 6mm2 (x metro) - Color Rojo</t>
        </is>
      </c>
    </row>
    <row r="31">
      <c r="A31" s="8" t="inlineStr">
        <is>
          <t>Cables</t>
        </is>
      </c>
      <c r="B31" s="8" t="inlineStr">
        <is>
          <t>GENERICO</t>
        </is>
      </c>
      <c r="C31" s="8" t="inlineStr">
        <is>
          <t>-</t>
        </is>
      </c>
      <c r="D31" s="9" t="inlineStr">
        <is>
          <t>Cable solar x 6mm2 (x metro) - Color Negro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2026-05-12T16:56:59Z</dcterms:created>
  <dcterms:modified xmlns:dcterms="http://purl.org/dc/terms/" xmlns:xsi="http://www.w3.org/2001/XMLSchema-instance" xsi:type="dcterms:W3CDTF">2026-05-12T16:56:59Z</dcterms:modified>
</cp:coreProperties>
</file>